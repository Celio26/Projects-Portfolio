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cacelio/Downloads/"/>
    </mc:Choice>
  </mc:AlternateContent>
  <xr:revisionPtr revIDLastSave="0" documentId="13_ncr:1_{87D983F9-B88A-E242-8F73-DA9275FC77D3}" xr6:coauthVersionLast="47" xr6:coauthVersionMax="47" xr10:uidLastSave="{00000000-0000-0000-0000-000000000000}"/>
  <bookViews>
    <workbookView xWindow="0" yWindow="0" windowWidth="38400" windowHeight="21600" tabRatio="500" activeTab="2" xr2:uid="{00000000-000D-0000-FFFF-FFFF00000000}"/>
  </bookViews>
  <sheets>
    <sheet name="Leggimi" sheetId="1" r:id="rId1"/>
    <sheet name="Ipotesi" sheetId="2" r:id="rId2"/>
    <sheet name="CE" sheetId="3" r:id="rId3"/>
    <sheet name="SP" sheetId="4" r:id="rId4"/>
    <sheet name="RF" sheetId="5" r:id="rId5"/>
    <sheet name="WACC" sheetId="6" r:id="rId6"/>
    <sheet name="DCF" sheetId="7" r:id="rId7"/>
    <sheet name="Sensitività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6" l="1"/>
  <c r="C9" i="5"/>
  <c r="C10" i="7" s="1"/>
  <c r="E5" i="3"/>
  <c r="F5" i="3" s="1"/>
  <c r="B16" i="8"/>
  <c r="D7" i="8"/>
  <c r="C7" i="8"/>
  <c r="B7" i="8"/>
  <c r="B38" i="7"/>
  <c r="B36" i="7"/>
  <c r="B34" i="7"/>
  <c r="B22" i="7"/>
  <c r="F7" i="8" s="1"/>
  <c r="F16" i="7"/>
  <c r="G16" i="7" s="1"/>
  <c r="H16" i="7" s="1"/>
  <c r="I16" i="7" s="1"/>
  <c r="D9" i="7"/>
  <c r="C9" i="7"/>
  <c r="C6" i="7"/>
  <c r="B21" i="6"/>
  <c r="B20" i="6"/>
  <c r="B15" i="6"/>
  <c r="B16" i="6" s="1"/>
  <c r="B9" i="6"/>
  <c r="B8" i="6"/>
  <c r="B7" i="6"/>
  <c r="B6" i="6"/>
  <c r="E15" i="5"/>
  <c r="D15" i="5"/>
  <c r="C15" i="5"/>
  <c r="I11" i="5"/>
  <c r="H11" i="5"/>
  <c r="G11" i="5"/>
  <c r="F11" i="5"/>
  <c r="E11" i="5"/>
  <c r="D11" i="5"/>
  <c r="C11" i="5"/>
  <c r="E9" i="5"/>
  <c r="E10" i="7" s="1"/>
  <c r="D9" i="5"/>
  <c r="D10" i="5" s="1"/>
  <c r="D6" i="5"/>
  <c r="C6" i="5"/>
  <c r="B22" i="4"/>
  <c r="B21" i="4"/>
  <c r="D20" i="4"/>
  <c r="C20" i="4"/>
  <c r="B20" i="4"/>
  <c r="D19" i="4"/>
  <c r="D21" i="4" s="1"/>
  <c r="D22" i="4" s="1"/>
  <c r="C19" i="4"/>
  <c r="B19" i="4"/>
  <c r="B16" i="4"/>
  <c r="D15" i="4"/>
  <c r="D16" i="4" s="1"/>
  <c r="C15" i="4"/>
  <c r="C16" i="4" s="1"/>
  <c r="B15" i="4"/>
  <c r="E13" i="4"/>
  <c r="F10" i="3" s="1"/>
  <c r="D10" i="4"/>
  <c r="C10" i="4"/>
  <c r="B10" i="4"/>
  <c r="E7" i="4"/>
  <c r="B13" i="3"/>
  <c r="C11" i="3"/>
  <c r="B11" i="3"/>
  <c r="B10" i="2" s="1"/>
  <c r="E10" i="3"/>
  <c r="E8" i="3"/>
  <c r="E9" i="7" s="1"/>
  <c r="E7" i="3"/>
  <c r="E9" i="3" s="1"/>
  <c r="D7" i="3"/>
  <c r="D7" i="2" s="1"/>
  <c r="C7" i="3"/>
  <c r="C9" i="3" s="1"/>
  <c r="B7" i="3"/>
  <c r="B9" i="3" s="1"/>
  <c r="E6" i="3"/>
  <c r="E8" i="4" s="1"/>
  <c r="D15" i="2"/>
  <c r="C15" i="2"/>
  <c r="D14" i="2"/>
  <c r="C14" i="2"/>
  <c r="D13" i="2"/>
  <c r="C13" i="2"/>
  <c r="B13" i="2"/>
  <c r="D12" i="2"/>
  <c r="C12" i="2"/>
  <c r="B12" i="2"/>
  <c r="D11" i="2"/>
  <c r="C11" i="2"/>
  <c r="B11" i="2"/>
  <c r="D9" i="2"/>
  <c r="D8" i="2"/>
  <c r="C8" i="2"/>
  <c r="B8" i="2"/>
  <c r="B7" i="2"/>
  <c r="D6" i="2"/>
  <c r="C6" i="2"/>
  <c r="C9" i="2" l="1"/>
  <c r="E6" i="4"/>
  <c r="E6" i="5"/>
  <c r="E10" i="5"/>
  <c r="B10" i="6"/>
  <c r="B12" i="6" s="1"/>
  <c r="B24" i="6" s="1"/>
  <c r="E12" i="4"/>
  <c r="F6" i="3"/>
  <c r="F7" i="4"/>
  <c r="F9" i="5"/>
  <c r="F6" i="4" s="1"/>
  <c r="F8" i="3"/>
  <c r="G5" i="3"/>
  <c r="D9" i="3"/>
  <c r="D10" i="7"/>
  <c r="E11" i="3"/>
  <c r="E6" i="7"/>
  <c r="C10" i="2"/>
  <c r="C7" i="7" s="1"/>
  <c r="C8" i="7" s="1"/>
  <c r="C12" i="7" s="1"/>
  <c r="C13" i="3"/>
  <c r="C7" i="5"/>
  <c r="C11" i="7" s="1"/>
  <c r="C21" i="4"/>
  <c r="C22" i="4" s="1"/>
  <c r="F13" i="4"/>
  <c r="D7" i="5"/>
  <c r="D11" i="7" s="1"/>
  <c r="C10" i="5"/>
  <c r="E7" i="8"/>
  <c r="C7" i="2"/>
  <c r="B23" i="7" l="1"/>
  <c r="E17" i="7"/>
  <c r="E18" i="7" s="1"/>
  <c r="H17" i="7"/>
  <c r="H18" i="7" s="1"/>
  <c r="G17" i="7"/>
  <c r="G18" i="7" s="1"/>
  <c r="F17" i="7"/>
  <c r="F18" i="7" s="1"/>
  <c r="I17" i="7"/>
  <c r="I18" i="7" s="1"/>
  <c r="B27" i="7" s="1"/>
  <c r="F12" i="4"/>
  <c r="F19" i="4" s="1"/>
  <c r="F7" i="5" s="1"/>
  <c r="F11" i="7" s="1"/>
  <c r="F8" i="4"/>
  <c r="F7" i="3"/>
  <c r="F9" i="3" s="1"/>
  <c r="G7" i="4"/>
  <c r="G6" i="3"/>
  <c r="H5" i="3"/>
  <c r="G9" i="5"/>
  <c r="G6" i="4" s="1"/>
  <c r="G8" i="3"/>
  <c r="G13" i="4"/>
  <c r="G10" i="3"/>
  <c r="D11" i="3"/>
  <c r="D6" i="7"/>
  <c r="E19" i="4"/>
  <c r="E7" i="7"/>
  <c r="E8" i="7" s="1"/>
  <c r="F6" i="5"/>
  <c r="F9" i="7"/>
  <c r="C12" i="5"/>
  <c r="C5" i="5"/>
  <c r="C8" i="5" s="1"/>
  <c r="E12" i="3"/>
  <c r="E13" i="3"/>
  <c r="F10" i="7"/>
  <c r="F10" i="5"/>
  <c r="C13" i="7" l="1"/>
  <c r="C16" i="2"/>
  <c r="C13" i="5"/>
  <c r="C14" i="5" s="1"/>
  <c r="C16" i="5" s="1"/>
  <c r="C17" i="5" s="1"/>
  <c r="H6" i="3"/>
  <c r="H7" i="3" s="1"/>
  <c r="H9" i="3" s="1"/>
  <c r="H7" i="4"/>
  <c r="H8" i="3"/>
  <c r="I5" i="3"/>
  <c r="H9" i="5"/>
  <c r="D7" i="7"/>
  <c r="D8" i="7" s="1"/>
  <c r="D12" i="7" s="1"/>
  <c r="G10" i="5"/>
  <c r="G10" i="7"/>
  <c r="F21" i="4"/>
  <c r="G12" i="4"/>
  <c r="G8" i="4"/>
  <c r="D10" i="2"/>
  <c r="D13" i="3"/>
  <c r="G7" i="3"/>
  <c r="G9" i="3" s="1"/>
  <c r="H10" i="3"/>
  <c r="H13" i="4"/>
  <c r="E5" i="5"/>
  <c r="E12" i="5"/>
  <c r="E13" i="5" s="1"/>
  <c r="E7" i="5"/>
  <c r="E11" i="7" s="1"/>
  <c r="E12" i="7" s="1"/>
  <c r="E21" i="4"/>
  <c r="F11" i="3"/>
  <c r="F6" i="7"/>
  <c r="G6" i="5"/>
  <c r="G9" i="7"/>
  <c r="A9" i="8"/>
  <c r="A10" i="8"/>
  <c r="A11" i="8"/>
  <c r="A12" i="8"/>
  <c r="A8" i="8"/>
  <c r="E19" i="7" l="1"/>
  <c r="H11" i="3"/>
  <c r="H6" i="7"/>
  <c r="I13" i="4"/>
  <c r="I10" i="3"/>
  <c r="E14" i="4"/>
  <c r="G6" i="7"/>
  <c r="G11" i="3"/>
  <c r="D12" i="5"/>
  <c r="D5" i="5"/>
  <c r="D8" i="5" s="1"/>
  <c r="E8" i="5"/>
  <c r="H10" i="5"/>
  <c r="H10" i="7"/>
  <c r="F7" i="7"/>
  <c r="F8" i="7" s="1"/>
  <c r="F12" i="7" s="1"/>
  <c r="F19" i="7" s="1"/>
  <c r="I9" i="5"/>
  <c r="I8" i="3"/>
  <c r="I7" i="4"/>
  <c r="I6" i="3"/>
  <c r="I7" i="3" s="1"/>
  <c r="I9" i="3" s="1"/>
  <c r="F12" i="3"/>
  <c r="F13" i="3"/>
  <c r="H6" i="5"/>
  <c r="H9" i="7"/>
  <c r="G19" i="4"/>
  <c r="H6" i="4"/>
  <c r="H12" i="4"/>
  <c r="H8" i="4"/>
  <c r="H19" i="4" s="1"/>
  <c r="I11" i="3" l="1"/>
  <c r="I6" i="7"/>
  <c r="E13" i="7"/>
  <c r="E14" i="5"/>
  <c r="E16" i="5" s="1"/>
  <c r="H7" i="5"/>
  <c r="H11" i="7" s="1"/>
  <c r="I9" i="7"/>
  <c r="I6" i="5"/>
  <c r="G12" i="3"/>
  <c r="G13" i="3" s="1"/>
  <c r="G7" i="5"/>
  <c r="G11" i="7" s="1"/>
  <c r="G21" i="4"/>
  <c r="I8" i="4"/>
  <c r="I12" i="4"/>
  <c r="F12" i="5"/>
  <c r="F13" i="5" s="1"/>
  <c r="F5" i="5"/>
  <c r="F8" i="5" s="1"/>
  <c r="G7" i="7"/>
  <c r="G8" i="7" s="1"/>
  <c r="D13" i="7"/>
  <c r="D14" i="5"/>
  <c r="D16" i="5" s="1"/>
  <c r="D17" i="5" s="1"/>
  <c r="H7" i="7"/>
  <c r="H8" i="7"/>
  <c r="I10" i="7"/>
  <c r="I10" i="5"/>
  <c r="D16" i="2"/>
  <c r="D13" i="5"/>
  <c r="H12" i="3"/>
  <c r="H13" i="3"/>
  <c r="H21" i="4"/>
  <c r="I6" i="4"/>
  <c r="E15" i="4"/>
  <c r="I19" i="4" l="1"/>
  <c r="I7" i="5" s="1"/>
  <c r="I11" i="7" s="1"/>
  <c r="G5" i="5"/>
  <c r="G8" i="5" s="1"/>
  <c r="G12" i="5"/>
  <c r="G13" i="5" s="1"/>
  <c r="H12" i="5"/>
  <c r="H13" i="5" s="1"/>
  <c r="H5" i="5"/>
  <c r="H8" i="5" s="1"/>
  <c r="G12" i="7"/>
  <c r="G19" i="7" s="1"/>
  <c r="E9" i="4"/>
  <c r="E17" i="5" s="1"/>
  <c r="F14" i="4"/>
  <c r="I21" i="4"/>
  <c r="I8" i="7"/>
  <c r="I12" i="7" s="1"/>
  <c r="I7" i="7"/>
  <c r="H12" i="7"/>
  <c r="H19" i="7" s="1"/>
  <c r="F13" i="7"/>
  <c r="F14" i="5"/>
  <c r="I12" i="3"/>
  <c r="I13" i="3" s="1"/>
  <c r="I12" i="5" l="1"/>
  <c r="I13" i="5" s="1"/>
  <c r="I5" i="5"/>
  <c r="I8" i="5" s="1"/>
  <c r="F15" i="5"/>
  <c r="F16" i="5" s="1"/>
  <c r="E10" i="4"/>
  <c r="E16" i="4" s="1"/>
  <c r="E20" i="4"/>
  <c r="E22" i="4" s="1"/>
  <c r="B31" i="7"/>
  <c r="H14" i="5"/>
  <c r="H13" i="7"/>
  <c r="I19" i="7"/>
  <c r="B24" i="7"/>
  <c r="B25" i="7" s="1"/>
  <c r="B26" i="7" s="1"/>
  <c r="F11" i="8"/>
  <c r="F12" i="8"/>
  <c r="F10" i="8"/>
  <c r="B11" i="8"/>
  <c r="D11" i="8"/>
  <c r="D12" i="8"/>
  <c r="C12" i="8"/>
  <c r="D10" i="8"/>
  <c r="E12" i="8"/>
  <c r="D9" i="8"/>
  <c r="D8" i="8"/>
  <c r="B12" i="8"/>
  <c r="C9" i="8"/>
  <c r="B9" i="8"/>
  <c r="C11" i="8"/>
  <c r="B8" i="8"/>
  <c r="E8" i="8"/>
  <c r="E10" i="8"/>
  <c r="E9" i="8"/>
  <c r="B10" i="8"/>
  <c r="E11" i="8"/>
  <c r="F8" i="8"/>
  <c r="C8" i="8"/>
  <c r="F9" i="8"/>
  <c r="C10" i="8"/>
  <c r="G14" i="4"/>
  <c r="F15" i="4"/>
  <c r="G14" i="5"/>
  <c r="G13" i="7"/>
  <c r="H14" i="4" l="1"/>
  <c r="G15" i="4"/>
  <c r="B28" i="7"/>
  <c r="B32" i="7" s="1"/>
  <c r="B45" i="7"/>
  <c r="F9" i="4"/>
  <c r="F17" i="5" s="1"/>
  <c r="I13" i="7"/>
  <c r="I14" i="5"/>
  <c r="I14" i="4" l="1"/>
  <c r="H15" i="4"/>
  <c r="G15" i="5"/>
  <c r="G16" i="5" s="1"/>
  <c r="F10" i="4"/>
  <c r="F16" i="4" s="1"/>
  <c r="F20" i="4"/>
  <c r="F22" i="4" s="1"/>
  <c r="B33" i="7"/>
  <c r="B43" i="7" l="1"/>
  <c r="B35" i="7"/>
  <c r="B44" i="7"/>
  <c r="B27" i="6"/>
  <c r="G9" i="4"/>
  <c r="G17" i="5"/>
  <c r="I15" i="4"/>
  <c r="B42" i="7"/>
  <c r="H15" i="5" l="1"/>
  <c r="H16" i="5" s="1"/>
  <c r="G20" i="4"/>
  <c r="G22" i="4" s="1"/>
  <c r="G10" i="4"/>
  <c r="G16" i="4" s="1"/>
  <c r="B46" i="7"/>
  <c r="B37" i="7"/>
  <c r="B39" i="7" l="1"/>
  <c r="F14" i="8"/>
  <c r="H9" i="4"/>
  <c r="H17" i="5" s="1"/>
  <c r="I15" i="5" l="1"/>
  <c r="I16" i="5" s="1"/>
  <c r="H20" i="4"/>
  <c r="H22" i="4" s="1"/>
  <c r="H10" i="4"/>
  <c r="H16" i="4" s="1"/>
  <c r="I9" i="4" l="1"/>
  <c r="I20" i="4" l="1"/>
  <c r="I22" i="4" s="1"/>
  <c r="I10" i="4"/>
  <c r="I16" i="4" s="1"/>
  <c r="I17" i="5"/>
</calcChain>
</file>

<file path=xl/sharedStrings.xml><?xml version="1.0" encoding="utf-8"?>
<sst xmlns="http://schemas.openxmlformats.org/spreadsheetml/2006/main" count="509" uniqueCount="395">
  <si>
    <t>DCF didattico — Alfa S.p.A. (azienda inventata)</t>
  </si>
  <si>
    <t>Un modello Discounted Cash Flow piccolo ma completo, costruito per studiare ogni passaggio. Tutti i numeri sono inventati.</t>
  </si>
  <si>
    <t>1. L'idea in tre righe</t>
  </si>
  <si>
    <t>Un'azienda vale quanto la cassa che produrrà in futuro per chi l'ha finanziata, riportata a oggi. Un euro di domani vale meno di un euro di oggi (potrei investirlo nel frattempo, e non è certo che arrivi): per questo ogni flusso futuro viene "scontato" a un tasso che riflette il rischio.</t>
  </si>
  <si>
    <t>Formula generale:   Enterprise Value = Σ  FCFF(t) / (1 + WACC)^t   +   Terminal Value / (1 + WACC)^n</t>
  </si>
  <si>
    <t>Tre ingredienti, quindi: i flussi di cassa (FCFF), il tasso di sconto (WACC) e il valore oltre l'orizzonte di piano (Terminal Value). Il resto del modello serve solo a costruire questi tre numeri in modo coerente.</t>
  </si>
  <si>
    <t>2. I passi del DCF e dove trovarli</t>
  </si>
  <si>
    <t>Passo</t>
  </si>
  <si>
    <t>Cosa si fa</t>
  </si>
  <si>
    <t>Foglio</t>
  </si>
  <si>
    <t>Formula chiave</t>
  </si>
  <si>
    <t>0. Storico</t>
  </si>
  <si>
    <t>Si leggono CE, SP e RF degli ultimi anni e si calcolano gli indicatori (crescita, margini, giorni di circolante) su cui basare le ipotesi.</t>
  </si>
  <si>
    <t>CE, SP, RF</t>
  </si>
  <si>
    <t>Indicatori storici nel foglio Ipotesi, colonne B-D</t>
  </si>
  <si>
    <t>1. Ipotesi</t>
  </si>
  <si>
    <t>Si decide come evolveranno ricavi, margini, investimenti e circolante nei prossimi 5 anni.</t>
  </si>
  <si>
    <t>Ipotesi</t>
  </si>
  <si>
    <t>Celle blu: sono le uniche da modificare</t>
  </si>
  <si>
    <t>2. Proiezioni</t>
  </si>
  <si>
    <t>Si proiettano i tre prospetti. Lo SP deve quadrare e la cassa finale del RF deve coincidere con la cassa dello SP.</t>
  </si>
  <si>
    <t>Attivo = Passivo + PN;  Cassa finale = Cassa iniziale + Flussi</t>
  </si>
  <si>
    <t>3. FCFF</t>
  </si>
  <si>
    <t>Si calcola il flusso di cassa operativo disponibile per tutti i finanziatori (azionisti e creditori).</t>
  </si>
  <si>
    <t>DCF (passo 1)</t>
  </si>
  <si>
    <t>FCFF = EBIT × (1 − t) + Ammortamenti − Capex − ΔCCN</t>
  </si>
  <si>
    <t>4. WACC</t>
  </si>
  <si>
    <t>Si stima il tasso di sconto: media ponderata del costo dell'equity (CAPM) e del costo del debito dopo le imposte.</t>
  </si>
  <si>
    <t>WACC</t>
  </si>
  <si>
    <t>WACC = E/(D+E) × Ke + D/(D+E) × Kd × (1 − t)</t>
  </si>
  <si>
    <t>5. Attualizzazione</t>
  </si>
  <si>
    <t>Ogni flusso viene moltiplicato per il suo fattore di sconto.</t>
  </si>
  <si>
    <t>DCF (passo 2)</t>
  </si>
  <si>
    <t>VA = FCFF(t) / (1 + WACC)^t</t>
  </si>
  <si>
    <t>6. Terminal Value</t>
  </si>
  <si>
    <t>Si stima il valore di tutti i flussi dopo il 2030 con la rendita perpetua crescente (Gordon) e lo si sconta a oggi.</t>
  </si>
  <si>
    <t>DCF (passo 3)</t>
  </si>
  <si>
    <t>TV = FCFF(n) × (1 + g) / (WACC − g)</t>
  </si>
  <si>
    <t>7. Da EV a prezzo</t>
  </si>
  <si>
    <t>Dal valore dell'attività si toglie il debito netto: resta il valore per gli azionisti, da dividere per il numero di azioni.</t>
  </si>
  <si>
    <t>DCF (passo 4)</t>
  </si>
  <si>
    <t>Equity Value = EV − PFN;   Valore per azione = Equity / n. azioni</t>
  </si>
  <si>
    <t>8. Controlli</t>
  </si>
  <si>
    <t>Si verifica che il risultato sia ragionevole (peso del TV, multipli impliciti) e quanto è sensibile a WACC e g.</t>
  </si>
  <si>
    <t>DCF (passo 5), Sensitività</t>
  </si>
  <si>
    <t>TV / EV;  EV / EBITDA;  tabella WACC × g</t>
  </si>
  <si>
    <t>3. Come leggere il file</t>
  </si>
  <si>
    <t>Testo blu</t>
  </si>
  <si>
    <t>Dato inserito a mano (storico o ipotesi). Sono le uniche celle da cambiare.</t>
  </si>
  <si>
    <t>Testo nero</t>
  </si>
  <si>
    <t>Formula: si ricalcola da sola. Clicca sulla cella per vedere la formula Excel vera.</t>
  </si>
  <si>
    <t>Testo verde</t>
  </si>
  <si>
    <t>Collegamento a un altro foglio (il numero viene da lì, senza calcoli).</t>
  </si>
  <si>
    <t>Sfondo giallo</t>
  </si>
  <si>
    <t>Ipotesi che pesano di più sul valore: sono quelle da discutere.</t>
  </si>
  <si>
    <t>Sfondo verde</t>
  </si>
  <si>
    <t>Risultati principali.</t>
  </si>
  <si>
    <t>Unità: milioni di euro, salvo percentuali, giorni e valori per azione. "A" = actual (consuntivo), "E" = expected (previsione).</t>
  </si>
  <si>
    <t>Ogni colonna è lo stesso anno in tutti i fogli (la colonna E è sempre il 2026): è una regola di buona modellazione che rende le formule facili da controllare.</t>
  </si>
  <si>
    <t>Segni: nel CE i costi sono scritti positivi e sottratti (voci con "(−)"). Nel RF e nel DCF invece i flussi hanno il loro segno: entrate positive, uscite negative (tra parentesi), così ogni totale è una semplice somma.</t>
  </si>
  <si>
    <t>Accanto a ogni riga trovi la formula a parole (colonna K) e la spiegazione (colonna L).</t>
  </si>
  <si>
    <t>4. Esercizi per capire (cambia una cella blu e osserva cosa succede)</t>
  </si>
  <si>
    <t>a) Ipotesi → crescita perpetua g dal 2,0% al 3,0%. Di quanto sale il valore per azione? Guarda nel foglio DCF quanto pesa il Terminal Value: capirai perché g è l'ipotesi più delicata.</t>
  </si>
  <si>
    <t>b) Ipotesi → beta unlevered da 0,90 a 1,10. Segui la catena nel foglio WACC: beta levered → Ke → WACC → fattori di sconto → valore.</t>
  </si>
  <si>
    <t>c) Ipotesi → giorni di incasso (DSO) da 60 a 75 in tutti gli anni. L'utile netto non cambia, il FCFF sì. Perché? (Risposta: il circolante assorbe cassa.)</t>
  </si>
  <si>
    <t>d) Ipotesi → rimborso del debito a 0 oppure payout al 100%. SP e RF cambiano, l'Enterprise Value no. Perché? (Risposta: il FCFF è calcolato prima di interessi, rimborsi e dividendi; le scelte di finanziamento entrano solo dal WACC.)</t>
  </si>
  <si>
    <t>e) Ipotesi → capex al 5,0% dei ricavi (uguale agli ammortamenti). Il valore sale, ma le immobilizzazioni restano ferme mentre i ricavi crescono: è credibile?</t>
  </si>
  <si>
    <t>f) Ipotesi → EBITDA margin −1 punto in tutti gli anni. Confronta l'effetto con quello di +0,5% sul WACC: quale leva pesa di più?</t>
  </si>
  <si>
    <t>5. Cosa è stato semplificato rispetto a un DCF reale</t>
  </si>
  <si>
    <t>• Flussi a fine anno. Nella pratica si usa spesso la "mid-year convention" (esponente t − 0,5), perché la cassa arriva durante l'anno.</t>
  </si>
  <si>
    <t>• Data di valutazione = chiusura di bilancio. Se si valuta a metà anno, il primo flusso va preso solo in parte e i periodi diventano frazionari.</t>
  </si>
  <si>
    <t>• Terminal Value calcolato sul FCFF dell'ultimo anno così com'è. Di solito si costruisce un anno "normalizzato" (capex coerente con g, circolante a regime, margini sostenibili).</t>
  </si>
  <si>
    <t>• Passaggio da EV a Equity con il solo debito netto. In un caso reale si considerano anche leasing (IFRS 16), fondi pensione, quote di minoranza, partecipazioni non consolidate, strumenti ibridi e azioni diluite.</t>
  </si>
  <si>
    <t>• Stato patrimoniale ridotto a sette voci; niente imposte differite, fondi, avviamento. Le imposte sono un'aliquota unica.</t>
  </si>
  <si>
    <t>• Beta, premio per il rischio e struttura finanziaria sono dati: in un caso reale vanno stimati (regressione, società comparabili) e motivati.</t>
  </si>
  <si>
    <t>• Un solo metodo. Un DCF serio viene sempre confrontato con i multipli di mercato di società comparabili.</t>
  </si>
  <si>
    <t>A sinistra gli indicatori storici (calcolati dai bilanci), a destra le ipotesi per il piano (celle blu: modificabili).</t>
  </si>
  <si>
    <t>STORICO (dati di bilancio)</t>
  </si>
  <si>
    <t>PREVISIONE (piano a 5 anni)</t>
  </si>
  <si>
    <t>€ milioni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</si>
  <si>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</si>
  <si>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</si>
  <si>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</si>
  <si>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</si>
  <si>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</si>
  <si>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</si>
  <si>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</si>
  <si>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</si>
  <si>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Formula (a parole)</t>
  </si>
  <si>
    <t>Spiegazione: cosa significa e perché si fa così</t>
  </si>
  <si>
    <t>A. Ipotesi operative e finanziarie (per anno)</t>
  </si>
  <si>
    <t>Crescita dei ricavi</t>
  </si>
  <si>
    <t>n.d.</t>
  </si>
  <si>
    <t>Ricavi(t) / Ricavi(t−1) − 1</t>
  </si>
  <si>
    <t>È il motore del modello: quasi tutte le altre voci sono legate ai ricavi. La crescita rallenta gradualmente verso il tasso di lungo periodo g: nessuna azienda cresce per sempre più dell'economia.</t>
  </si>
  <si>
    <t>EBITDA margin</t>
  </si>
  <si>
    <t>EBITDA / Ricavi</t>
  </si>
  <si>
    <t>Redditività operativa prima di ammortamenti, interessi e imposte. Si parte dallo storico (19-20%) e si ipotizza un lieve miglioramento. Con la crescita, è l'ipotesi operativa che pesa di più sul valore.</t>
  </si>
  <si>
    <t>Ammortamenti (% dei ricavi)</t>
  </si>
  <si>
    <t>Ammortamenti / Ricavi</t>
  </si>
  <si>
    <t>Gli ammortamenti sono un costo senza uscita di cassa: riducono l'utile (e le imposte) ma verranno riaggiunti nel calcolo del flusso di cassa.</t>
  </si>
  <si>
    <t>Investimenti - Capex (% dei ricavi)</t>
  </si>
  <si>
    <t>Capex / Ricavi</t>
  </si>
  <si>
    <t>È la vera uscita di cassa per impianti e macchinari. In un'azienda che cresce il capex deve superare gli ammortamenti: non si può crescere consumando gli impianti senza sostituirli.</t>
  </si>
  <si>
    <t>Aliquota fiscale</t>
  </si>
  <si>
    <t>Imposte / Utile ante imposte</t>
  </si>
  <si>
    <t>In Italia IRES 24% + IRAP 3,9% ≈ 28%. Nel DCF serve due volte: per le imposte "figurative" sull'EBIT e per lo scudo fiscale del debito dentro il WACC.</t>
  </si>
  <si>
    <t>Giorni di incasso crediti (DSO)</t>
  </si>
  <si>
    <t>Crediti commerciali / Ricavi × 365</t>
  </si>
  <si>
    <t>Tempo medio di incasso dai clienti. Più giorni = più cassa ferma nel circolante.</t>
  </si>
  <si>
    <t>Giorni di magazzino (DIO)</t>
  </si>
  <si>
    <t>Rimanenze / Costi operativi × 365</t>
  </si>
  <si>
    <t>Tempo medio di permanenza delle scorte. Si rapporta ai costi (non ai ricavi) perché il magazzino è valutato al costo.</t>
  </si>
  <si>
    <t>Giorni di pagamento fornitori (DPO)</t>
  </si>
  <si>
    <t>Debiti commerciali / Costi operativi × 365</t>
  </si>
  <si>
    <t>Tempo medio di pagamento ai fornitori. È un finanziamento senza interessi: più giorni = meno circolante da finanziare.</t>
  </si>
  <si>
    <t>Tasso di interesse sul debito</t>
  </si>
  <si>
    <t>Oneri finanziari(t) / Debito(t−1)</t>
  </si>
  <si>
    <t>Rimborso del debito (€ mln)</t>
  </si>
  <si>
    <t>Debito(t−1) − Debito(t)</t>
  </si>
  <si>
    <t>Quota di debito restituita ogni anno. Come gli interessi, riguarda il rapporto con i finanziatori e non tocca il FCFF.</t>
  </si>
  <si>
    <t>Payout (dividendi / utile netto)</t>
  </si>
  <si>
    <t>Dividendi / Utile netto</t>
  </si>
  <si>
    <t>Quota di utile distribuita agli azionisti. Non influenza il valore nel DCF: serve solo a proiettare patrimonio netto e cassa.</t>
  </si>
  <si>
    <t>B. Ipotesi di valutazione</t>
  </si>
  <si>
    <t>Valore</t>
  </si>
  <si>
    <t>Data di valutazione</t>
  </si>
  <si>
    <t>31/12/2025</t>
  </si>
  <si>
    <t>Il "giorno zero" a cui si riportano tutti i flussi. Qui coincide con l'ultima chiusura di bilancio, così il flusso 2026 dista esattamente 1 anno.</t>
  </si>
  <si>
    <t>Crescita perpetua (g)</t>
  </si>
  <si>
    <t>Crescita dei flussi dal 2031 all'infinito. Due vincoli: non oltre la crescita nominale di lungo periodo dell'economia (inflazione + crescita reale, in area euro 1,5-2,5%) e sempre minore del WACC, altrimenti la formula del Terminal Value non ha senso.</t>
  </si>
  <si>
    <t>Numero di azioni (milioni)</t>
  </si>
  <si>
    <t>Azioni in circolazione. In un caso reale si usano le azioni diluite (incluse stock option e convertibili).</t>
  </si>
  <si>
    <t>Prezzo di mercato per azione (€)</t>
  </si>
  <si>
    <t>Serve solo per il confronto finale: il DCF dice quanto "dovrebbe" valere l'azione, il mercato quanto vale oggi.</t>
  </si>
  <si>
    <t>C. Ipotesi per il WACC</t>
  </si>
  <si>
    <t>Tasso privo di rischio (Rf)</t>
  </si>
  <si>
    <t>Rendimento di un titolo di Stato a 10 anni nella valuta dei flussi (BTP o Bund, a seconda di dove si vuole mettere il rischio paese).</t>
  </si>
  <si>
    <t>Premio per il rischio di mercato (ERP)</t>
  </si>
  <si>
    <t>Rendimento in più che gli investitori chiedono per tenere azioni invece di titoli privi di rischio. Stime usuali tra 4,5% e 6% (Damodaran, Fernandez).</t>
  </si>
  <si>
    <t>Beta unlevered (βu)</t>
  </si>
  <si>
    <t>Beta "ripulito" dal debito: misura solo il rischio del business. Di solito è la media dei beta di società comparabili, ciascuno depurato dalla propria leva.</t>
  </si>
  <si>
    <t>Peso del debito obiettivo  D / (D + E)</t>
  </si>
  <si>
    <t>Struttura finanziaria obiettivo a valori di mercato, non quella contabile di oggi: il WACC deve valere per tutta la vita dell'azienda. Si usa un obiettivo anche per evitare la circolarità (il peso dell'equity dipenderebbe dal valore che stiamo cercando).</t>
  </si>
  <si>
    <t>Costo del debito lordo (Kd)</t>
  </si>
  <si>
    <t>Conto economico (CE)</t>
  </si>
  <si>
    <t>Alfa S.p.A. — dati inventati. Storico in blu (inserito a mano), previsione calcolata dalle ipotesi.</t>
  </si>
  <si>
    <t>Ricavi</t>
  </si>
  <si>
    <t>Ricavi(t−1) × (1 + crescita)</t>
  </si>
  <si>
    <t>Ogni anno parte dai ricavi dell'anno precedente e applica la crescita ipotizzata.</t>
  </si>
  <si>
    <t>(−) Costi operativi (senza ammortamenti)</t>
  </si>
  <si>
    <t>Ricavi × (1 − EBITDA margin)</t>
  </si>
  <si>
    <t>Materie prime, personale, servizi. Nello storico sono un dato; in previsione si ricavano dal margine ipotizzato (è un modo semplice: in un modello dettagliato ogni costo ha la sua ipotesi).</t>
  </si>
  <si>
    <t>EBITDA</t>
  </si>
  <si>
    <t>Ricavi − Costi operativi</t>
  </si>
  <si>
    <t>Margine operativo lordo: approssima la cassa generata dalla gestione prima di investimenti, circolante, interessi e imposte.</t>
  </si>
  <si>
    <t>(−) Ammortamenti</t>
  </si>
  <si>
    <t>Ricavi × % ammortamenti</t>
  </si>
  <si>
    <t>Quota di costo degli impianti attribuita all'anno. Non è un'uscita di cassa (la cassa è uscita quando l'impianto è stato comprato).</t>
  </si>
  <si>
    <t>EBIT (reddito operativo)</t>
  </si>
  <si>
    <t>EBITDA − Ammortamenti</t>
  </si>
  <si>
    <t>È il punto di partenza del FCFF. È un risultato PRIMA degli interessi, quindi appartiene a tutti i finanziatori (azionisti e creditori) e non dipende da quanto debito ha l'azienda.</t>
  </si>
  <si>
    <t>(−) Oneri finanziari</t>
  </si>
  <si>
    <t>Tasso di interesse × Debito a inizio anno</t>
  </si>
  <si>
    <t>Calcolati sul debito di inizio anno per evitare un riferimento circolare (interessi → utile → cassa → debito → interessi).</t>
  </si>
  <si>
    <t>Utile ante imposte</t>
  </si>
  <si>
    <t>EBIT − Oneri finanziari</t>
  </si>
  <si>
    <t>Base imponibile (semplificata).</t>
  </si>
  <si>
    <t>(−) Imposte</t>
  </si>
  <si>
    <t>Utile ante imposte × aliquota</t>
  </si>
  <si>
    <t>Imposte effettive: sono calcolate DOPO gli interessi, quindi beneficiano della loro deducibilità (scudo fiscale). Nel DCF useremo invece imposte calcolate sull'EBIT.</t>
  </si>
  <si>
    <t>Utile netto</t>
  </si>
  <si>
    <t>Utile ante imposte − Imposte</t>
  </si>
  <si>
    <t>Risultato che spetta agli azionisti. Il DCF "unlevered" non parte da qui, ma l'utile serve per proiettare patrimonio netto, dividendi e cassa.</t>
  </si>
  <si>
    <t>Stato patrimoniale (SP)</t>
  </si>
  <si>
    <t>Alfa S.p.A. — dati inventati, al 31 dicembre di ogni anno. Schema ridotto a sette voci.</t>
  </si>
  <si>
    <t>ATTIVO</t>
  </si>
  <si>
    <t>Immobilizzazioni nette</t>
  </si>
  <si>
    <t>Immobilizzazioni(t−1) + Capex − Ammortamenti</t>
  </si>
  <si>
    <t>Gli impianti crescono con i nuovi investimenti e si riducono con gli ammortamenti. Nella formula il capex viene dal RF, dove ha segno negativo: per questo è sottratto.</t>
  </si>
  <si>
    <t>Crediti commerciali</t>
  </si>
  <si>
    <t>Ricavi × DSO / 365</t>
  </si>
  <si>
    <t>Ricavi già fatturati ma non ancora incassati.</t>
  </si>
  <si>
    <t>Rimanenze</t>
  </si>
  <si>
    <t>Costi operativi × DIO / 365</t>
  </si>
  <si>
    <t>Scorte di materie prime e prodotti: costi già sostenuti per beni non ancora venduti.</t>
  </si>
  <si>
    <t>Cassa</t>
  </si>
  <si>
    <t>Cassa finale del rendiconto finanziario</t>
  </si>
  <si>
    <t>In previsione la cassa NON è un'ipotesi: è il risultato del RF. È la voce che "chiude" il modello: se tutte le altre formule sono corrette, lo SP quadra da solo.</t>
  </si>
  <si>
    <t>Totale attivo</t>
  </si>
  <si>
    <t>Somma delle voci dell'attivo</t>
  </si>
  <si>
    <t>PASSIVO E PATRIMONIO NETTO</t>
  </si>
  <si>
    <t>Debiti commerciali</t>
  </si>
  <si>
    <t>Costi operativi × DPO / 365</t>
  </si>
  <si>
    <t>Acquisti già ricevuti ma non ancora pagati ai fornitori.</t>
  </si>
  <si>
    <t>Debito finanziario</t>
  </si>
  <si>
    <t>Debito(t−1) + Variazione del debito (dal RF)</t>
  </si>
  <si>
    <t>Prestiti bancari e obbligazioni. Scende ogni anno del rimborso ipotizzato.</t>
  </si>
  <si>
    <t>Patrimonio netto</t>
  </si>
  <si>
    <t>PN(t−1) + Utile netto − Dividendi</t>
  </si>
  <si>
    <t>Cresce con l'utile non distribuito. I dividendi vengono dal RF con segno negativo, perciò sono sommati.</t>
  </si>
  <si>
    <t>Totale passivo e patrimonio netto</t>
  </si>
  <si>
    <t>Somma delle voci del passivo e del PN</t>
  </si>
  <si>
    <t>Controllo quadratura (deve essere 0)</t>
  </si>
  <si>
    <t>Totale attivo − Totale passivo e PN</t>
  </si>
  <si>
    <t>Primo controllo di ogni modello a tre prospetti. Se non è zero, una voce è stata proiettata nello SP ma non nel RF (o viceversa).</t>
  </si>
  <si>
    <t>GRANDEZZE RICLASSIFICATE (servono per il DCF)</t>
  </si>
  <si>
    <t>Capitale circolante netto (CCN)</t>
  </si>
  <si>
    <t>Crediti + Rimanenze − Debiti commerciali</t>
  </si>
  <si>
    <t>Cassa immobilizzata nel ciclo acquisti-produzione-vendita. Nel FCFF entra la sua VARIAZIONE annua, non il livello.</t>
  </si>
  <si>
    <t>Posizione finanziaria netta (PFN)</t>
  </si>
  <si>
    <t>Debito finanziario − Cassa</t>
  </si>
  <si>
    <t>Debito netto. Quella al 31/12/2025 (data di valutazione) è il numero che si sottrae dall'Enterprise Value per arrivare all'Equity Value.</t>
  </si>
  <si>
    <t>Capitale investito netto (CIN)</t>
  </si>
  <si>
    <t>Immobilizzazioni + CCN</t>
  </si>
  <si>
    <t>Quanto capitale serve per far funzionare l'attività operativa. Il DCF valuta proprio questo: l'Enterprise Value è il valore di mercato del CIN.</t>
  </si>
  <si>
    <t>Controllo: CIN − (PN + PFN) (deve essere 0)</t>
  </si>
  <si>
    <t>CIN = Patrimonio netto + PFN</t>
  </si>
  <si>
    <t>Lo stesso SP letto in due modi: dove è investito il capitale (CIN) e chi lo ha fornito (azionisti e creditori). È la versione contabile di EV = Equity + Debito netto.</t>
  </si>
  <si>
    <t>Rendiconto finanziario (RF)</t>
  </si>
  <si>
    <t>Metodo indiretto: si parte dall'utile e si arriva alla variazione di cassa. Entrate positive, uscite negative (tra parentesi).</t>
  </si>
  <si>
    <t>Dal CE</t>
  </si>
  <si>
    <t>Punto di partenza del metodo indiretto. Il 2023 non è calcolabile perché manca lo SP del 2022 (servono due SP consecutivi per fare un RF).</t>
  </si>
  <si>
    <t>(+) Ammortamenti</t>
  </si>
  <si>
    <t>Costo che ha ridotto l'utile senza far uscire cassa: si riaggiunge.</t>
  </si>
  <si>
    <t>(−) Variazione del CCN</t>
  </si>
  <si>
    <t>−(CCN(t) − CCN(t−1))</t>
  </si>
  <si>
    <t>Se il circolante aumenta, parte dell'utile è rimasta "incastrata" in crediti e magazzino invece di diventare cassa: segno meno.</t>
  </si>
  <si>
    <t>Flusso di cassa operativo</t>
  </si>
  <si>
    <t>Utile netto + Ammortamenti − ΔCCN</t>
  </si>
  <si>
    <t>Cassa generata dalla gestione, DOPO interessi e imposte effettive.</t>
  </si>
  <si>
    <t>(−) Investimenti (Capex)</t>
  </si>
  <si>
    <t>Storico: −(ΔImmobilizzazioni + Ammortamenti)
Previsione: −Ricavi × % capex</t>
  </si>
  <si>
    <t>Nello storico il capex si ricava "al contrario" dallo SP: se le immobilizzazioni nette sono salite di 6 dopo 23 di ammortamenti, sono stati investiti 29.</t>
  </si>
  <si>
    <t>Flusso di cassa da investimenti</t>
  </si>
  <si>
    <t>Pari al capex</t>
  </si>
  <si>
    <t>Variazione del debito finanziario</t>
  </si>
  <si>
    <t>Storico: Debito(t) − Debito(t−1)
Previsione: −Rimborso ipotizzato</t>
  </si>
  <si>
    <t>Negativa se si rimborsa debito, positiva se se ne accende di nuovo.</t>
  </si>
  <si>
    <t>(−) Dividendi</t>
  </si>
  <si>
    <t>Storico: −(Utile netto − ΔPN)
Previsione: −Utile netto × payout</t>
  </si>
  <si>
    <t>Nello storico: la parte di utile che non è finita nel patrimonio netto è stata distribuita. In previsione, per semplicità, il dividendo è pagato nello stesso anno in cui l'utile è prodotto.</t>
  </si>
  <si>
    <t>Flusso di cassa da finanziamento</t>
  </si>
  <si>
    <t>ΔDebito + Dividendi</t>
  </si>
  <si>
    <t>Rapporti con chi finanzia l'azienda: creditori e azionisti.</t>
  </si>
  <si>
    <t>Variazione di cassa</t>
  </si>
  <si>
    <t>Operativo + Investimenti + Finanziamento</t>
  </si>
  <si>
    <t>Cassa iniziale</t>
  </si>
  <si>
    <t>Cassa dello SP dell'anno precedente</t>
  </si>
  <si>
    <t>Cassa finale</t>
  </si>
  <si>
    <t>Cassa iniziale + Variazione di cassa</t>
  </si>
  <si>
    <t>In previsione questo numero va nello SP: è il collegamento che fa quadrare i tre prospetti.</t>
  </si>
  <si>
    <t>Controllo: Cassa finale − Cassa SP (deve essere 0)</t>
  </si>
  <si>
    <t>Cassa finale RF − Cassa SP</t>
  </si>
  <si>
    <t>Nello storico è una vera verifica: il RF ricostruito deve arrivare alla cassa di bilancio. In previsione è zero per costruzione.</t>
  </si>
  <si>
    <t>Costo medio ponderato del capitale (WACC)</t>
  </si>
  <si>
    <t>Il tasso di sconto dei FCFF: quanto rendimento chiedono, in media, azionisti e creditori per finanziare l'azienda.</t>
  </si>
  <si>
    <t>Voce</t>
  </si>
  <si>
    <t>Spiegazione</t>
  </si>
  <si>
    <t>1. Costo dell'equity (Ke) con il CAPM</t>
  </si>
  <si>
    <t>Dal foglio Ipotesi</t>
  </si>
  <si>
    <t>Rendimento minimo che si ottiene senza correre rischi: è la base di qualunque tasso di sconto.</t>
  </si>
  <si>
    <t>Rendimento atteso del mercato azionario in eccesso rispetto a Rf.</t>
  </si>
  <si>
    <t>Rischio del solo business, senza l'effetto del debito.</t>
  </si>
  <si>
    <t>Aliquota fiscale (t)</t>
  </si>
  <si>
    <t>Dal foglio Ipotesi (aliquota di lungo periodo, 2030E)</t>
  </si>
  <si>
    <t>Gli interessi sono deducibili: lo Stato "paga" una parte del costo del debito.</t>
  </si>
  <si>
    <t>Rapporto D / E obiettivo</t>
  </si>
  <si>
    <t>Peso debito / Peso equity</t>
  </si>
  <si>
    <t>Leva finanziaria obiettivo: quanti euro di debito per ogni euro di equity (a valori di mercato).</t>
  </si>
  <si>
    <t>Beta levered (βL)</t>
  </si>
  <si>
    <t>βu × [1 + (1 − t) × D/E]</t>
  </si>
  <si>
    <t>Formula di Hamada. Il debito rende l'utile per gli azionisti più volatile: a parità di business, più leva = beta più alto. Il termine (1 − t) riflette lo scudo fiscale, che attenua l'effetto.</t>
  </si>
  <si>
    <t>Costo dell'equity (Ke)</t>
  </si>
  <si>
    <t>Rf + βL × ERP</t>
  </si>
  <si>
    <t>CAPM: gli azionisti chiedono il tasso privo di rischio più un premio proporzionale al rischio sistematico (non diversificabile) del titolo, misurato dal beta.</t>
  </si>
  <si>
    <t>2. Costo del debito (Kd)</t>
  </si>
  <si>
    <t>Rendimento chiesto dai creditori.</t>
  </si>
  <si>
    <t>Costo del debito dopo le imposte</t>
  </si>
  <si>
    <t>Kd × (1 − t)</t>
  </si>
  <si>
    <t>Ogni euro di interessi riduce le imposte di t euro: il costo effettivo è più basso. È QUI che lo scudo fiscale entra nel DCF, ed è il motivo per cui nel FCFF le imposte si calcolano sull'EBIT senza togliere gli interessi.</t>
  </si>
  <si>
    <t>3. Struttura finanziaria obiettivo (pesi a valori di mercato)</t>
  </si>
  <si>
    <t>I pesi vanno a valori di mercato, non contabili: l'equity a bilancio (PN) sottostima quasi sempre il valore di mercato.</t>
  </si>
  <si>
    <t>Peso del debito  D / (D + E)</t>
  </si>
  <si>
    <t>Quota di debito nella struttura obiettivo.</t>
  </si>
  <si>
    <t>Peso dell'equity  E / (D + E)</t>
  </si>
  <si>
    <t>1 − Peso del debito</t>
  </si>
  <si>
    <t>I due pesi sommano a 100%.</t>
  </si>
  <si>
    <t>E/(D+E) × Ke  +  D/(D+E) × Kd × (1 − t)</t>
  </si>
  <si>
    <t>Media dei due costi, pesata per quanto ciascuna fonte finanzia l'azienda. Il debito costa meno dell'equity (i creditori sono pagati prima e gli interessi sono deducibili), ma aumentare la leva fa salire sia il beta sia, oltre un certo punto, il costo del debito: il WACC non scende all'infinito.</t>
  </si>
  <si>
    <t>Per confronto</t>
  </si>
  <si>
    <t>Leva effettiva al 31/12/2025:  PFN / EV</t>
  </si>
  <si>
    <t>PFN 2025 / Enterprise Value stimato</t>
  </si>
  <si>
    <t>Controllo di coerenza. Oggi la leva effettiva è più bassa dell'obiettivo e nel piano il debito scende ancora: usare il peso obiettivo significa ipotizzare che nel lungo periodo l'azienda torni a una leva "normale" per il settore. È una scelta frequente, ma è un'ipotesi e va dichiarata.</t>
  </si>
  <si>
    <t>Valutazione DCF</t>
  </si>
  <si>
    <t>Dal flusso di cassa al valore per azione, in cinque passi. Entrate positive, uscite negative (tra parentesi).</t>
  </si>
  <si>
    <t>PASSO 1 — Free Cash Flow to the Firm (FCFF)</t>
  </si>
  <si>
    <t>EBIT</t>
  </si>
  <si>
    <t>Si parte dall'EBIT e non dall'utile netto: il FCFF è la cassa disponibile per TUTTI i finanziatori, quindi si misura prima degli interessi.</t>
  </si>
  <si>
    <t>(−) Imposte figurative sull'EBIT</t>
  </si>
  <si>
    <t>−EBIT × aliquota</t>
  </si>
  <si>
    <t>Imposte che l'azienda pagherebbe se non avesse debito. Sono più alte di quelle del CE perché ignorano la deducibilità degli interessi. Quel risparmio non va perso: è già nel WACC, tramite Kd × (1 − t). Contarlo anche qui sarebbe un doppio conteggio.</t>
  </si>
  <si>
    <t>NOPAT (utile operativo dopo le imposte)</t>
  </si>
  <si>
    <t>EBIT × (1 − t)</t>
  </si>
  <si>
    <t>Net Operating Profit After Taxes: l'utile che l'azienda farebbe se fosse finanziata solo con equity.</t>
  </si>
  <si>
    <t>Costo non monetario: ha ridotto l'EBIT (e le imposte) ma non è uscita cassa. Si riaggiunge.</t>
  </si>
  <si>
    <t>Dal RF</t>
  </si>
  <si>
    <t>Cassa spesa per mantenere e far crescere la capacità produttiva.</t>
  </si>
  <si>
    <t>Cassa assorbita dall'aumento di crediti e magazzino, al netto dei debiti verso fornitori.</t>
  </si>
  <si>
    <t>FCFF</t>
  </si>
  <si>
    <t>NOPAT + Ammortamenti − Capex − ΔCCN</t>
  </si>
  <si>
    <t>Cassa prodotta dall'attività operativa dopo imposte e investimenti, prima di qualunque pagamento a creditori (interessi, rimborsi) e azionisti (dividendi). È il flusso che si attualizza al WACC.</t>
  </si>
  <si>
    <t>Controllo: riconciliazione con il RF (deve essere 0)</t>
  </si>
  <si>
    <t>Flusso operativo (RF) + Oneri finanziari × (1 − t) + Capex − FCFF</t>
  </si>
  <si>
    <t>Il FCFF si può ottenere anche dal rendiconto finanziario: al flusso operativo si riaggiungono gli interessi al netto dello scudo fiscale e si toglie il capex. Le due strade devono dare lo stesso numero.</t>
  </si>
  <si>
    <t>PASSO 2 — Attualizzazione dei flussi espliciti</t>
  </si>
  <si>
    <t>Periodo t (anni dalla data di valutazione)</t>
  </si>
  <si>
    <t>1, 2, 3, 4, 5</t>
  </si>
  <si>
    <t>Distanza in anni tra il 31/12/2025 e il momento in cui si ipotizza arrivi il flusso (fine anno).</t>
  </si>
  <si>
    <t>Dal foglio WACC</t>
  </si>
  <si>
    <t>Lo stesso tasso per tutti gli anni: si assume struttura finanziaria e rischio costanti.</t>
  </si>
  <si>
    <t>Fattore di sconto</t>
  </si>
  <si>
    <t>1 / (1 + WACC)^t</t>
  </si>
  <si>
    <t>Quanto vale oggi 1 euro incassato tra t anni. Più lontano è il flusso (o più alto il WACC), meno vale. Convenzione di fine anno; con la mid-year convention l'esponente sarebbe t − 0,5.</t>
  </si>
  <si>
    <t>Valore attuale del FCFF</t>
  </si>
  <si>
    <t>FCFF × Fattore di sconto</t>
  </si>
  <si>
    <t>Ogni flusso riportato al 31/12/2025.</t>
  </si>
  <si>
    <t>PASSO 3 — Terminal Value (TV)</t>
  </si>
  <si>
    <t>Tasso a cui i flussi crescono per sempre dopo il 2030.</t>
  </si>
  <si>
    <t>FCFF dell'ultimo anno di piano (2030E)</t>
  </si>
  <si>
    <t>FCFF 2030E</t>
  </si>
  <si>
    <t>L'ultimo flusso esplicito. Deve rappresentare un anno "a regime": margini sostenibili, capex coerente con la crescita g.</t>
  </si>
  <si>
    <t>FCFF del primo anno oltre il piano (2031)</t>
  </si>
  <si>
    <t>FCFF 2030E × (1 + g)</t>
  </si>
  <si>
    <t>La formula di Gordon vuole al numeratore il flusso dell'anno SUCCESSIVO. Dimenticare (1 + g) è l'errore più frequente.</t>
  </si>
  <si>
    <t>Terminal Value al 31/12/2030</t>
  </si>
  <si>
    <t>FCFF 2031 / (WACC − g)</t>
  </si>
  <si>
    <t>Valore, visto dal 2030, di tutti i flussi dal 2031 all'infinito. È una rendita perpetua crescente: la somma FCFF×(1+g)/(1+WACC) + FCFF×(1+g)²/(1+WACC)² + … è una serie geometrica che converge a questa formula solo se g &lt; WACC.</t>
  </si>
  <si>
    <t>Fattore di sconto dell'anno 2030</t>
  </si>
  <si>
    <t>1 / (1 + WACC)^5</t>
  </si>
  <si>
    <t>Il TV è un valore al 2030, non a oggi: va scontato con il fattore dell'ultimo anno di piano (t = 5, non 6).</t>
  </si>
  <si>
    <t>Valore attuale del Terminal Value</t>
  </si>
  <si>
    <t>TV × Fattore di sconto 2030</t>
  </si>
  <si>
    <t>PASSO 4 — Da Enterprise Value a valore per azione</t>
  </si>
  <si>
    <t>Somma dei valori attuali dei FCFF 2026E-2030E</t>
  </si>
  <si>
    <t>Σ Valore attuale FCFF</t>
  </si>
  <si>
    <t>Valore creato nei cinque anni di piano.</t>
  </si>
  <si>
    <t>(+) Valore attuale del Terminal Value</t>
  </si>
  <si>
    <t>Dal passo 3</t>
  </si>
  <si>
    <t>Valore creato dal 2031 in poi.</t>
  </si>
  <si>
    <t>Enterprise Value (EV)</t>
  </si>
  <si>
    <t>Σ VA FCFF + VA TV</t>
  </si>
  <si>
    <t>Valore dell'attività operativa, indipendente da come è finanziata. Appartiene a tutti i finanziatori.</t>
  </si>
  <si>
    <t>(−) Posizione finanziaria netta al 31/12/2025</t>
  </si>
  <si>
    <t>−(Debito finanziario − Cassa)</t>
  </si>
  <si>
    <t>Si toglie ciò che spetta ai creditori (al netto della cassa disponibile). Va presa alla data di valutazione, non a fine piano.</t>
  </si>
  <si>
    <t>Equity Value</t>
  </si>
  <si>
    <t>EV − PFN</t>
  </si>
  <si>
    <t>Valore che resta agli azionisti.</t>
  </si>
  <si>
    <t>Valore per azione (€)</t>
  </si>
  <si>
    <t>Equity Value / Numero di azioni</t>
  </si>
  <si>
    <t>Il risultato finale del DCF.</t>
  </si>
  <si>
    <t>Prezzo di mercato (€)</t>
  </si>
  <si>
    <t>Scostamento dal prezzo di mercato</t>
  </si>
  <si>
    <t>Valore per azione / Prezzo − 1</t>
  </si>
  <si>
    <t>Positivo: secondo il modello l'azione è sottovalutata. Ma prima di concluderlo va capito PERCHÉ il mercato la pensa diversamente: quale ipotesi sta scontando?</t>
  </si>
  <si>
    <t>PASSO 5 — Controlli di ragionevolezza</t>
  </si>
  <si>
    <t>Peso del Terminal Value sull'EV</t>
  </si>
  <si>
    <t>VA TV / EV</t>
  </si>
  <si>
    <t>Di solito tra 60% e 80%. Più è alto, più il valore dipende da WACC e g (cioè da due numeri stimati) e meno dal piano.</t>
  </si>
  <si>
    <t>EV / EBITDA 2025A</t>
  </si>
  <si>
    <t>EV / EBITDA dell'ultimo anno chiuso</t>
  </si>
  <si>
    <t>Multiplo implicito nella valutazione: va confrontato con quello delle società comparabili quotate.</t>
  </si>
  <si>
    <t>EV / EBITDA 2026E</t>
  </si>
  <si>
    <t>EV / EBITDA del primo anno di piano</t>
  </si>
  <si>
    <t>Multiplo di uscita implicito:  TV / EBITDA 2030E</t>
  </si>
  <si>
    <t>Terminal Value / EBITDA 2030E</t>
  </si>
  <si>
    <t>A quale multiplo si "venderebbe" l'azienda nel 2030 secondo la formula di Gordon. Se è molto sopra i multipli di settore, g è troppo generoso o il WACC troppo basso.</t>
  </si>
  <si>
    <t>Prezzo / Utile implicito (P/E 2025A)</t>
  </si>
  <si>
    <t>Equity Value / Utile netto 2025A</t>
  </si>
  <si>
    <t>Analisi di sensitività</t>
  </si>
  <si>
    <t>Valore per azione (€) al variare di WACC (righe) e crescita perpetua g (colonne). La cella centrale è il caso base.</t>
  </si>
  <si>
    <t>Passo WACC</t>
  </si>
  <si>
    <t>Passo g</t>
  </si>
  <si>
    <t>WACC  ↓</t>
  </si>
  <si>
    <t>Come si legge: Ogni cella ricalcola tutto il DCF con una coppia diversa di WACC e g, lasciando invariati i FCFF. Muoversi a destra (g più alto) o in alto (WACC più basso) fa salire il valore.</t>
  </si>
  <si>
    <t>Cosa c'è nella formula: Valore per azione = [ Σ FCFF(t) / (1 + WACC)^t  +  FCFF(2030) × (1 + g) / (WACC − g) / (1 + WACC)^5  −  PFN ] / n. azioni. Il primo pezzo è un MATR.SOMMA.PRODOTTO (SUMPRODUCT) che sconta i cinque flussi in una sola cella.</t>
  </si>
  <si>
    <t>Perché serve: Il DCF non produce un numero, produce un intervallo. WACC e g sono stime: ±0,5% su ciascuno è un'incertezza del tutto normale. La tabella mostra quanto il risultato regge a errori plausibili.</t>
  </si>
  <si>
    <t>Cosa osservare: L'effetto non è simmetrico né lineare: quando WACC − g diventa piccolo (angolo in alto a destra) il valore accelera, perché il denominatore del Terminal Value si avvicina a zero.</t>
  </si>
  <si>
    <t>Alternativa in Excel: Lo stesso risultato si ottiene con Dati → Analisi di simulazione → Tabella dati, che ricalcola il modello senza scrivere la formula. Qui è scritta per esteso perché si veda cosa succede.</t>
  </si>
  <si>
    <t>Limite: Si muovono solo due ipotesi finanziarie. Le ipotesi operative (crescita, margini, capex) contano altrettanto: provale a mano dal foglio Ipotesi.</t>
  </si>
  <si>
    <t>Controllo: cella centrale − valore per azione del foglio DCF (deve essere 0)</t>
  </si>
  <si>
    <t>Le celle in rosso sono sotto il prezzo di mercato.</t>
  </si>
  <si>
    <t>Serve per CE e RF. Attenzione: gli interessi NON entrano nel FCFF, perché il costo del debito è già dentro il tasso di sconto (WACC). Sarebbe il ROD, anche se quest'ultimo di solito si calcola sul debito medio o di fine anno.</t>
  </si>
  <si>
    <t>Tasso a cui l'azienda si finanzierebbe oggi (tasso privo di rischio + spread di credito). Qui è uguale al tasso pagato sul debito esistente. Spesso nella pratica il ROD si usa come approssimazione del Kd quando non si ha di meglio. Ma possono divergere parecchio: un'azienda che si è indebitata a tasso fisso nel 2021 ha un ROD basso, mentre il suo Kd di oggi è più alto. In quel caso nel WACC va il tasso di oggi.
Per stimare il Kd in un caso reale, in ordine di preferenza:
1. Il rendimento a scadenza delle obbligazioni quotate della società.
2. Il risk-free più lo spread tipico del suo rating.
3. Il ROD, come ripiego.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</si>
</sst>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\(0.0%\);\-"/>
    <numFmt numFmtId="165" formatCode="#,##0.0;\(#,##0.0\);\-"/>
    <numFmt numFmtId="166" formatCode="#,##0.00&quot; €&quot;"/>
    <numFmt numFmtId="167" formatCode="0.000"/>
    <numFmt numFmtId="168" formatCode="0.0\x"/>
  </numFmts>
  <fonts count="17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7F7F7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4"/>
      <color rgb="FF1F3864"/>
      <name val="Arial"/>
      <family val="2"/>
    </font>
    <font>
      <sz val="10"/>
      <color rgb="FF7F7F7F"/>
      <name val="Arial"/>
      <family val="2"/>
    </font>
    <font>
      <sz val="10"/>
      <color rgb="FF0000FF"/>
      <name val="Arial"/>
      <family val="2"/>
    </font>
    <font>
      <sz val="10"/>
      <color rgb="FF404040"/>
      <name val="Arial"/>
      <family val="2"/>
    </font>
    <font>
      <sz val="10"/>
      <color rgb="FF008000"/>
      <name val="Arial"/>
      <family val="2"/>
    </font>
    <font>
      <i/>
      <sz val="10"/>
      <color rgb="FF000000"/>
      <name val="Arial"/>
      <family val="2"/>
    </font>
    <font>
      <b/>
      <sz val="10"/>
      <color rgb="FF7F7F7F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596F94"/>
        <bgColor rgb="FF7F7F7F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3" borderId="0" xfId="0" applyFill="1"/>
    <xf numFmtId="164" fontId="10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11" fillId="4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11" fillId="0" borderId="0" xfId="0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2" fontId="11" fillId="4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right" vertical="center"/>
    </xf>
    <xf numFmtId="165" fontId="15" fillId="7" borderId="1" xfId="0" applyNumberFormat="1" applyFont="1" applyFill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0" fontId="5" fillId="5" borderId="0" xfId="0" applyNumberFormat="1" applyFont="1" applyFill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0" fillId="7" borderId="0" xfId="0" applyFill="1"/>
    <xf numFmtId="165" fontId="5" fillId="0" borderId="0" xfId="0" applyNumberFormat="1" applyFont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0" fontId="5" fillId="3" borderId="0" xfId="0" applyNumberFormat="1" applyFont="1" applyFill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6" fontId="16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1">
    <dxf>
      <font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F94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7"/>
  <sheetViews>
    <sheetView showGridLines="0" topLeftCell="A33" zoomScale="182" zoomScaleNormal="100" workbookViewId="0">
      <selection activeCell="B1" sqref="B1"/>
    </sheetView>
  </sheetViews>
  <sheetFormatPr baseColWidth="10" defaultColWidth="8.6640625" defaultRowHeight="15" x14ac:dyDescent="0.2"/>
  <cols>
    <col min="1" max="1" width="3" customWidth="1"/>
    <col min="2" max="2" width="24" customWidth="1"/>
    <col min="3" max="3" width="58" customWidth="1"/>
    <col min="4" max="4" width="14" customWidth="1"/>
    <col min="5" max="5" width="62" customWidth="1"/>
  </cols>
  <sheetData>
    <row r="1" spans="2:5" ht="20" x14ac:dyDescent="0.2">
      <c r="B1" s="6" t="s">
        <v>0</v>
      </c>
    </row>
    <row r="2" spans="2:5" x14ac:dyDescent="0.2">
      <c r="B2" s="7" t="s">
        <v>1</v>
      </c>
    </row>
    <row r="4" spans="2:5" ht="18" customHeight="1" x14ac:dyDescent="0.2">
      <c r="B4" s="8" t="s">
        <v>2</v>
      </c>
      <c r="C4" s="9"/>
      <c r="D4" s="9"/>
      <c r="E4" s="9"/>
    </row>
    <row r="5" spans="2:5" ht="30" customHeight="1" x14ac:dyDescent="0.2">
      <c r="B5" s="5" t="s">
        <v>3</v>
      </c>
      <c r="C5" s="5"/>
      <c r="D5" s="5"/>
      <c r="E5" s="5"/>
    </row>
    <row r="6" spans="2:5" ht="16.5" customHeight="1" x14ac:dyDescent="0.2">
      <c r="B6" s="4" t="s">
        <v>4</v>
      </c>
      <c r="C6" s="4"/>
      <c r="D6" s="4"/>
      <c r="E6" s="4"/>
    </row>
    <row r="7" spans="2:5" ht="30" customHeight="1" x14ac:dyDescent="0.2">
      <c r="B7" s="5" t="s">
        <v>5</v>
      </c>
      <c r="C7" s="5"/>
      <c r="D7" s="5"/>
      <c r="E7" s="5"/>
    </row>
    <row r="9" spans="2:5" ht="18" customHeight="1" x14ac:dyDescent="0.2">
      <c r="B9" s="8" t="s">
        <v>6</v>
      </c>
      <c r="C9" s="9"/>
      <c r="D9" s="9"/>
      <c r="E9" s="9"/>
    </row>
    <row r="10" spans="2:5" x14ac:dyDescent="0.2">
      <c r="B10" s="12" t="s">
        <v>7</v>
      </c>
      <c r="C10" s="12" t="s">
        <v>8</v>
      </c>
      <c r="D10" s="12" t="s">
        <v>9</v>
      </c>
      <c r="E10" s="12" t="s">
        <v>10</v>
      </c>
    </row>
    <row r="11" spans="2:5" ht="43.5" customHeight="1" x14ac:dyDescent="0.2">
      <c r="B11" s="11" t="s">
        <v>11</v>
      </c>
      <c r="C11" s="10" t="s">
        <v>12</v>
      </c>
      <c r="D11" s="10" t="s">
        <v>13</v>
      </c>
      <c r="E11" s="10" t="s">
        <v>14</v>
      </c>
    </row>
    <row r="12" spans="2:5" ht="30" customHeight="1" x14ac:dyDescent="0.2">
      <c r="B12" s="11" t="s">
        <v>15</v>
      </c>
      <c r="C12" s="10" t="s">
        <v>16</v>
      </c>
      <c r="D12" s="10" t="s">
        <v>17</v>
      </c>
      <c r="E12" s="10" t="s">
        <v>18</v>
      </c>
    </row>
    <row r="13" spans="2:5" ht="30" customHeight="1" x14ac:dyDescent="0.2">
      <c r="B13" s="11" t="s">
        <v>19</v>
      </c>
      <c r="C13" s="10" t="s">
        <v>20</v>
      </c>
      <c r="D13" s="10" t="s">
        <v>13</v>
      </c>
      <c r="E13" s="10" t="s">
        <v>21</v>
      </c>
    </row>
    <row r="14" spans="2:5" ht="30" customHeight="1" x14ac:dyDescent="0.2">
      <c r="B14" s="11" t="s">
        <v>22</v>
      </c>
      <c r="C14" s="10" t="s">
        <v>23</v>
      </c>
      <c r="D14" s="10" t="s">
        <v>24</v>
      </c>
      <c r="E14" s="10" t="s">
        <v>25</v>
      </c>
    </row>
    <row r="15" spans="2:5" ht="30" customHeight="1" x14ac:dyDescent="0.2">
      <c r="B15" s="11" t="s">
        <v>26</v>
      </c>
      <c r="C15" s="10" t="s">
        <v>27</v>
      </c>
      <c r="D15" s="10" t="s">
        <v>28</v>
      </c>
      <c r="E15" s="10" t="s">
        <v>29</v>
      </c>
    </row>
    <row r="16" spans="2:5" ht="16.5" customHeight="1" x14ac:dyDescent="0.2">
      <c r="B16" s="11" t="s">
        <v>30</v>
      </c>
      <c r="C16" s="10" t="s">
        <v>31</v>
      </c>
      <c r="D16" s="10" t="s">
        <v>32</v>
      </c>
      <c r="E16" s="10" t="s">
        <v>33</v>
      </c>
    </row>
    <row r="17" spans="2:5" ht="30" customHeight="1" x14ac:dyDescent="0.2">
      <c r="B17" s="11" t="s">
        <v>34</v>
      </c>
      <c r="C17" s="10" t="s">
        <v>35</v>
      </c>
      <c r="D17" s="10" t="s">
        <v>36</v>
      </c>
      <c r="E17" s="10" t="s">
        <v>37</v>
      </c>
    </row>
    <row r="18" spans="2:5" ht="30" customHeight="1" x14ac:dyDescent="0.2">
      <c r="B18" s="11" t="s">
        <v>38</v>
      </c>
      <c r="C18" s="10" t="s">
        <v>39</v>
      </c>
      <c r="D18" s="10" t="s">
        <v>40</v>
      </c>
      <c r="E18" s="10" t="s">
        <v>41</v>
      </c>
    </row>
    <row r="19" spans="2:5" ht="30" customHeight="1" x14ac:dyDescent="0.2">
      <c r="B19" s="11" t="s">
        <v>42</v>
      </c>
      <c r="C19" s="10" t="s">
        <v>43</v>
      </c>
      <c r="D19" s="10" t="s">
        <v>44</v>
      </c>
      <c r="E19" s="10" t="s">
        <v>45</v>
      </c>
    </row>
    <row r="21" spans="2:5" ht="18" customHeight="1" x14ac:dyDescent="0.2">
      <c r="B21" s="8" t="s">
        <v>46</v>
      </c>
      <c r="C21" s="9"/>
      <c r="D21" s="9"/>
      <c r="E21" s="9"/>
    </row>
    <row r="22" spans="2:5" x14ac:dyDescent="0.2">
      <c r="B22" s="13" t="s">
        <v>47</v>
      </c>
      <c r="C22" s="3" t="s">
        <v>48</v>
      </c>
      <c r="D22" s="3"/>
      <c r="E22" s="3"/>
    </row>
    <row r="23" spans="2:5" x14ac:dyDescent="0.2">
      <c r="B23" s="15" t="s">
        <v>49</v>
      </c>
      <c r="C23" s="3" t="s">
        <v>50</v>
      </c>
      <c r="D23" s="3"/>
      <c r="E23" s="3"/>
    </row>
    <row r="24" spans="2:5" x14ac:dyDescent="0.2">
      <c r="B24" s="16" t="s">
        <v>51</v>
      </c>
      <c r="C24" s="3" t="s">
        <v>52</v>
      </c>
      <c r="D24" s="3"/>
      <c r="E24" s="3"/>
    </row>
    <row r="25" spans="2:5" x14ac:dyDescent="0.2">
      <c r="B25" s="17" t="s">
        <v>53</v>
      </c>
      <c r="C25" s="3" t="s">
        <v>54</v>
      </c>
      <c r="D25" s="3"/>
      <c r="E25" s="3"/>
    </row>
    <row r="26" spans="2:5" x14ac:dyDescent="0.2">
      <c r="B26" s="18" t="s">
        <v>55</v>
      </c>
      <c r="C26" s="3" t="s">
        <v>56</v>
      </c>
      <c r="D26" s="3"/>
      <c r="E26" s="3"/>
    </row>
    <row r="27" spans="2:5" ht="16.5" customHeight="1" x14ac:dyDescent="0.2">
      <c r="B27" s="5" t="s">
        <v>57</v>
      </c>
      <c r="C27" s="5"/>
      <c r="D27" s="5"/>
      <c r="E27" s="5"/>
    </row>
    <row r="28" spans="2:5" ht="16.5" customHeight="1" x14ac:dyDescent="0.2">
      <c r="B28" s="5" t="s">
        <v>58</v>
      </c>
      <c r="C28" s="5"/>
      <c r="D28" s="5"/>
      <c r="E28" s="5"/>
    </row>
    <row r="29" spans="2:5" ht="30" customHeight="1" x14ac:dyDescent="0.2">
      <c r="B29" s="5" t="s">
        <v>59</v>
      </c>
      <c r="C29" s="5"/>
      <c r="D29" s="5"/>
      <c r="E29" s="5"/>
    </row>
    <row r="30" spans="2:5" ht="16.5" customHeight="1" x14ac:dyDescent="0.2">
      <c r="B30" s="5" t="s">
        <v>60</v>
      </c>
      <c r="C30" s="5"/>
      <c r="D30" s="5"/>
      <c r="E30" s="5"/>
    </row>
    <row r="32" spans="2:5" ht="18" customHeight="1" x14ac:dyDescent="0.2">
      <c r="B32" s="8" t="s">
        <v>61</v>
      </c>
      <c r="C32" s="9"/>
      <c r="D32" s="9"/>
      <c r="E32" s="9"/>
    </row>
    <row r="33" spans="2:5" ht="30" customHeight="1" x14ac:dyDescent="0.2">
      <c r="B33" s="5" t="s">
        <v>62</v>
      </c>
      <c r="C33" s="5"/>
      <c r="D33" s="5"/>
      <c r="E33" s="5"/>
    </row>
    <row r="34" spans="2:5" ht="16.5" customHeight="1" x14ac:dyDescent="0.2">
      <c r="B34" s="5" t="s">
        <v>63</v>
      </c>
      <c r="C34" s="5"/>
      <c r="D34" s="5"/>
      <c r="E34" s="5"/>
    </row>
    <row r="35" spans="2:5" ht="16.5" customHeight="1" x14ac:dyDescent="0.2">
      <c r="B35" s="5" t="s">
        <v>64</v>
      </c>
      <c r="C35" s="5"/>
      <c r="D35" s="5"/>
      <c r="E35" s="5"/>
    </row>
    <row r="36" spans="2:5" ht="30" customHeight="1" x14ac:dyDescent="0.2">
      <c r="B36" s="5" t="s">
        <v>65</v>
      </c>
      <c r="C36" s="5"/>
      <c r="D36" s="5"/>
      <c r="E36" s="5"/>
    </row>
    <row r="37" spans="2:5" ht="16.5" customHeight="1" x14ac:dyDescent="0.2">
      <c r="B37" s="5" t="s">
        <v>66</v>
      </c>
      <c r="C37" s="5"/>
      <c r="D37" s="5"/>
      <c r="E37" s="5"/>
    </row>
    <row r="38" spans="2:5" ht="16.5" customHeight="1" x14ac:dyDescent="0.2">
      <c r="B38" s="5" t="s">
        <v>67</v>
      </c>
      <c r="C38" s="5"/>
      <c r="D38" s="5"/>
      <c r="E38" s="5"/>
    </row>
    <row r="40" spans="2:5" ht="18" customHeight="1" x14ac:dyDescent="0.2">
      <c r="B40" s="8" t="s">
        <v>68</v>
      </c>
      <c r="C40" s="9"/>
      <c r="D40" s="9"/>
      <c r="E40" s="9"/>
    </row>
    <row r="41" spans="2:5" ht="16.5" customHeight="1" x14ac:dyDescent="0.2">
      <c r="B41" s="5" t="s">
        <v>69</v>
      </c>
      <c r="C41" s="5"/>
      <c r="D41" s="5"/>
      <c r="E41" s="5"/>
    </row>
    <row r="42" spans="2:5" ht="16.5" customHeight="1" x14ac:dyDescent="0.2">
      <c r="B42" s="5" t="s">
        <v>70</v>
      </c>
      <c r="C42" s="5"/>
      <c r="D42" s="5"/>
      <c r="E42" s="5"/>
    </row>
    <row r="43" spans="2:5" ht="30" customHeight="1" x14ac:dyDescent="0.2">
      <c r="B43" s="5" t="s">
        <v>71</v>
      </c>
      <c r="C43" s="5"/>
      <c r="D43" s="5"/>
      <c r="E43" s="5"/>
    </row>
    <row r="44" spans="2:5" ht="30" customHeight="1" x14ac:dyDescent="0.2">
      <c r="B44" s="5" t="s">
        <v>72</v>
      </c>
      <c r="C44" s="5"/>
      <c r="D44" s="5"/>
      <c r="E44" s="5"/>
    </row>
    <row r="45" spans="2:5" ht="16.5" customHeight="1" x14ac:dyDescent="0.2">
      <c r="B45" s="5" t="s">
        <v>73</v>
      </c>
      <c r="C45" s="5"/>
      <c r="D45" s="5"/>
      <c r="E45" s="5"/>
    </row>
    <row r="46" spans="2:5" ht="16.5" customHeight="1" x14ac:dyDescent="0.2">
      <c r="B46" s="5" t="s">
        <v>74</v>
      </c>
      <c r="C46" s="5"/>
      <c r="D46" s="5"/>
      <c r="E46" s="5"/>
    </row>
    <row r="47" spans="2:5" ht="16.5" customHeight="1" x14ac:dyDescent="0.2">
      <c r="B47" s="5" t="s">
        <v>75</v>
      </c>
      <c r="C47" s="5"/>
      <c r="D47" s="5"/>
      <c r="E47" s="5"/>
    </row>
  </sheetData>
  <mergeCells count="25">
    <mergeCell ref="B43:E43"/>
    <mergeCell ref="B44:E44"/>
    <mergeCell ref="B45:E45"/>
    <mergeCell ref="B46:E46"/>
    <mergeCell ref="B47:E47"/>
    <mergeCell ref="B36:E36"/>
    <mergeCell ref="B37:E37"/>
    <mergeCell ref="B38:E38"/>
    <mergeCell ref="B41:E41"/>
    <mergeCell ref="B42:E42"/>
    <mergeCell ref="B29:E29"/>
    <mergeCell ref="B30:E30"/>
    <mergeCell ref="B33:E33"/>
    <mergeCell ref="B34:E34"/>
    <mergeCell ref="B35:E35"/>
    <mergeCell ref="C24:E24"/>
    <mergeCell ref="C25:E25"/>
    <mergeCell ref="C26:E26"/>
    <mergeCell ref="B27:E27"/>
    <mergeCell ref="B28:E28"/>
    <mergeCell ref="B5:E5"/>
    <mergeCell ref="B6:E6"/>
    <mergeCell ref="B7:E7"/>
    <mergeCell ref="C22:E22"/>
    <mergeCell ref="C23:E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9"/>
  <sheetViews>
    <sheetView showGridLines="0" zoomScale="150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50" customWidth="1"/>
    <col min="2" max="9" width="11" customWidth="1"/>
    <col min="10" max="10" width="2" customWidth="1"/>
    <col min="11" max="11" width="52" customWidth="1"/>
    <col min="12" max="12" width="88" customWidth="1"/>
  </cols>
  <sheetData>
    <row r="1" spans="1:12" ht="18" x14ac:dyDescent="0.2">
      <c r="A1" s="19" t="s">
        <v>17</v>
      </c>
    </row>
    <row r="2" spans="1:12" x14ac:dyDescent="0.2">
      <c r="A2" s="7" t="s">
        <v>76</v>
      </c>
    </row>
    <row r="3" spans="1:12" x14ac:dyDescent="0.2">
      <c r="B3" s="2" t="s">
        <v>77</v>
      </c>
      <c r="C3" s="2"/>
      <c r="D3" s="2"/>
      <c r="E3" s="1" t="s">
        <v>78</v>
      </c>
      <c r="F3" s="1"/>
      <c r="G3" s="1"/>
      <c r="H3" s="1"/>
      <c r="I3" s="1"/>
    </row>
    <row r="4" spans="1:12" x14ac:dyDescent="0.2">
      <c r="A4" s="8" t="s">
        <v>79</v>
      </c>
      <c r="B4" s="20" t="s">
        <v>80</v>
      </c>
      <c r="C4" s="20" t="s">
        <v>81</v>
      </c>
      <c r="D4" s="20" t="s">
        <v>82</v>
      </c>
      <c r="E4" s="21" t="s">
        <v>83</v>
      </c>
      <c r="F4" s="21" t="s">
        <v>84</v>
      </c>
      <c r="G4" s="21" t="s">
        <v>85</v>
      </c>
      <c r="H4" s="21" t="s">
        <v>86</v>
      </c>
      <c r="I4" s="21" t="s">
        <v>87</v>
      </c>
      <c r="K4" s="8" t="s">
        <v>88</v>
      </c>
      <c r="L4" s="8" t="s">
        <v>89</v>
      </c>
    </row>
    <row r="5" spans="1:12" ht="18" customHeight="1" x14ac:dyDescent="0.2">
      <c r="A5" s="12" t="s">
        <v>90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30" customHeight="1" x14ac:dyDescent="0.2">
      <c r="A6" s="14" t="s">
        <v>91</v>
      </c>
      <c r="B6" s="23" t="s">
        <v>92</v>
      </c>
      <c r="C6" s="24">
        <f>CE!C5/CE!B5-1</f>
        <v>7.4999999999999956E-2</v>
      </c>
      <c r="D6" s="24">
        <f>CE!D5/CE!C5-1</f>
        <v>6.9767441860465018E-2</v>
      </c>
      <c r="E6" s="25">
        <v>0.06</v>
      </c>
      <c r="F6" s="25">
        <v>5.5E-2</v>
      </c>
      <c r="G6" s="25">
        <v>0.05</v>
      </c>
      <c r="H6" s="25">
        <v>0.04</v>
      </c>
      <c r="I6" s="25">
        <v>0.03</v>
      </c>
      <c r="K6" s="26" t="s">
        <v>93</v>
      </c>
      <c r="L6" s="26" t="s">
        <v>94</v>
      </c>
    </row>
    <row r="7" spans="1:12" ht="43.5" customHeight="1" x14ac:dyDescent="0.2">
      <c r="A7" s="14" t="s">
        <v>95</v>
      </c>
      <c r="B7" s="24">
        <f>CE!B7/CE!B5</f>
        <v>0.19</v>
      </c>
      <c r="C7" s="24">
        <f>CE!C7/CE!C5</f>
        <v>0.19534883720930232</v>
      </c>
      <c r="D7" s="24">
        <f>CE!D7/CE!D5</f>
        <v>0.2</v>
      </c>
      <c r="E7" s="25">
        <v>0.2</v>
      </c>
      <c r="F7" s="25">
        <v>0.20499999999999999</v>
      </c>
      <c r="G7" s="25">
        <v>0.21</v>
      </c>
      <c r="H7" s="25">
        <v>0.21</v>
      </c>
      <c r="I7" s="25">
        <v>0.21</v>
      </c>
      <c r="K7" s="26" t="s">
        <v>96</v>
      </c>
      <c r="L7" s="26" t="s">
        <v>97</v>
      </c>
    </row>
    <row r="8" spans="1:12" ht="30" customHeight="1" x14ac:dyDescent="0.2">
      <c r="A8" s="14" t="s">
        <v>98</v>
      </c>
      <c r="B8" s="24">
        <f>CE!B8/CE!B5</f>
        <v>0.05</v>
      </c>
      <c r="C8" s="24">
        <f>CE!C8/CE!C5</f>
        <v>0.05</v>
      </c>
      <c r="D8" s="24">
        <f>CE!D8/CE!D5</f>
        <v>0.05</v>
      </c>
      <c r="E8" s="27">
        <v>0.05</v>
      </c>
      <c r="F8" s="27">
        <v>0.05</v>
      </c>
      <c r="G8" s="27">
        <v>0.05</v>
      </c>
      <c r="H8" s="27">
        <v>0.05</v>
      </c>
      <c r="I8" s="27">
        <v>0.05</v>
      </c>
      <c r="K8" s="26" t="s">
        <v>99</v>
      </c>
      <c r="L8" s="26" t="s">
        <v>100</v>
      </c>
    </row>
    <row r="9" spans="1:12" ht="30" customHeight="1" x14ac:dyDescent="0.2">
      <c r="A9" s="14" t="s">
        <v>101</v>
      </c>
      <c r="B9" s="23" t="s">
        <v>92</v>
      </c>
      <c r="C9" s="24">
        <f>-RF!C9/CE!C5</f>
        <v>6.1627906976744189E-2</v>
      </c>
      <c r="D9" s="24">
        <f>-RF!D9/CE!D5</f>
        <v>6.3043478260869562E-2</v>
      </c>
      <c r="E9" s="27">
        <v>0.06</v>
      </c>
      <c r="F9" s="27">
        <v>0.06</v>
      </c>
      <c r="G9" s="27">
        <v>5.5E-2</v>
      </c>
      <c r="H9" s="27">
        <v>5.5E-2</v>
      </c>
      <c r="I9" s="27">
        <v>5.5E-2</v>
      </c>
      <c r="K9" s="26" t="s">
        <v>102</v>
      </c>
      <c r="L9" s="26" t="s">
        <v>103</v>
      </c>
    </row>
    <row r="10" spans="1:12" ht="30" customHeight="1" x14ac:dyDescent="0.2">
      <c r="A10" s="14" t="s">
        <v>104</v>
      </c>
      <c r="B10" s="24">
        <f>CE!B12/CE!B11</f>
        <v>0.27967806841046278</v>
      </c>
      <c r="C10" s="24">
        <f>CE!C12/CE!C11</f>
        <v>0.27915194346289751</v>
      </c>
      <c r="D10" s="24">
        <f>CE!D12/CE!D11</f>
        <v>0.27987421383647798</v>
      </c>
      <c r="E10" s="27">
        <v>0.28000000000000003</v>
      </c>
      <c r="F10" s="27">
        <v>0.28000000000000003</v>
      </c>
      <c r="G10" s="27">
        <v>0.28000000000000003</v>
      </c>
      <c r="H10" s="27">
        <v>0.28000000000000003</v>
      </c>
      <c r="I10" s="27">
        <v>0.28000000000000003</v>
      </c>
      <c r="K10" s="26" t="s">
        <v>105</v>
      </c>
      <c r="L10" s="26" t="s">
        <v>106</v>
      </c>
    </row>
    <row r="11" spans="1:12" ht="16.5" customHeight="1" x14ac:dyDescent="0.2">
      <c r="A11" s="14" t="s">
        <v>107</v>
      </c>
      <c r="B11" s="28">
        <f>SP!B7/CE!B5*365</f>
        <v>60.225000000000001</v>
      </c>
      <c r="C11" s="28">
        <f>SP!C7/CE!C5*365</f>
        <v>60.267441860465119</v>
      </c>
      <c r="D11" s="28">
        <f>SP!D7/CE!D5*365</f>
        <v>60.304347826086953</v>
      </c>
      <c r="E11" s="29">
        <v>60</v>
      </c>
      <c r="F11" s="29">
        <v>60</v>
      </c>
      <c r="G11" s="29">
        <v>60</v>
      </c>
      <c r="H11" s="29">
        <v>60</v>
      </c>
      <c r="I11" s="29">
        <v>60</v>
      </c>
      <c r="K11" s="26" t="s">
        <v>108</v>
      </c>
      <c r="L11" s="26" t="s">
        <v>109</v>
      </c>
    </row>
    <row r="12" spans="1:12" ht="30" customHeight="1" x14ac:dyDescent="0.2">
      <c r="A12" s="14" t="s">
        <v>110</v>
      </c>
      <c r="B12" s="28">
        <f>SP!B8/CE!B6*365</f>
        <v>45.061728395061728</v>
      </c>
      <c r="C12" s="28">
        <f>SP!C8/CE!C6*365</f>
        <v>45.361271676300575</v>
      </c>
      <c r="D12" s="28">
        <f>SP!D8/CE!D6*365</f>
        <v>44.633152173913047</v>
      </c>
      <c r="E12" s="29">
        <v>45</v>
      </c>
      <c r="F12" s="29">
        <v>45</v>
      </c>
      <c r="G12" s="29">
        <v>45</v>
      </c>
      <c r="H12" s="29">
        <v>45</v>
      </c>
      <c r="I12" s="29">
        <v>45</v>
      </c>
      <c r="K12" s="26" t="s">
        <v>111</v>
      </c>
      <c r="L12" s="26" t="s">
        <v>112</v>
      </c>
    </row>
    <row r="13" spans="1:12" ht="30" customHeight="1" x14ac:dyDescent="0.2">
      <c r="A13" s="14" t="s">
        <v>113</v>
      </c>
      <c r="B13" s="28">
        <f>SP!B12/CE!B6*365</f>
        <v>69.84567901234567</v>
      </c>
      <c r="C13" s="28">
        <f>SP!C12/CE!C6*365</f>
        <v>69.624277456647391</v>
      </c>
      <c r="D13" s="28">
        <f>SP!D12/CE!D6*365</f>
        <v>70.421195652173907</v>
      </c>
      <c r="E13" s="29">
        <v>70</v>
      </c>
      <c r="F13" s="29">
        <v>70</v>
      </c>
      <c r="G13" s="29">
        <v>70</v>
      </c>
      <c r="H13" s="29">
        <v>70</v>
      </c>
      <c r="I13" s="29">
        <v>70</v>
      </c>
      <c r="K13" s="26" t="s">
        <v>114</v>
      </c>
      <c r="L13" s="26" t="s">
        <v>115</v>
      </c>
    </row>
    <row r="14" spans="1:12" ht="30" customHeight="1" x14ac:dyDescent="0.2">
      <c r="A14" s="14" t="s">
        <v>116</v>
      </c>
      <c r="B14" s="23" t="s">
        <v>92</v>
      </c>
      <c r="C14" s="24">
        <f>CE!C10/SP!B13</f>
        <v>4.5384615384615384E-2</v>
      </c>
      <c r="D14" s="24">
        <f>CE!D10/SP!C13</f>
        <v>4.5000000000000005E-2</v>
      </c>
      <c r="E14" s="27">
        <v>4.4999999999999998E-2</v>
      </c>
      <c r="F14" s="27">
        <v>4.4999999999999998E-2</v>
      </c>
      <c r="G14" s="27">
        <v>4.4999999999999998E-2</v>
      </c>
      <c r="H14" s="27">
        <v>4.4999999999999998E-2</v>
      </c>
      <c r="I14" s="27">
        <v>4.4999999999999998E-2</v>
      </c>
      <c r="K14" s="26" t="s">
        <v>117</v>
      </c>
      <c r="L14" s="26" t="s">
        <v>393</v>
      </c>
    </row>
    <row r="15" spans="1:12" ht="30" customHeight="1" x14ac:dyDescent="0.2">
      <c r="A15" s="14" t="s">
        <v>118</v>
      </c>
      <c r="B15" s="30" t="s">
        <v>92</v>
      </c>
      <c r="C15" s="31">
        <f>-RF!C11</f>
        <v>10</v>
      </c>
      <c r="D15" s="31">
        <f>-RF!D11</f>
        <v>10</v>
      </c>
      <c r="E15" s="32">
        <v>10</v>
      </c>
      <c r="F15" s="32">
        <v>10</v>
      </c>
      <c r="G15" s="32">
        <v>10</v>
      </c>
      <c r="H15" s="32">
        <v>10</v>
      </c>
      <c r="I15" s="32">
        <v>10</v>
      </c>
      <c r="K15" s="26" t="s">
        <v>119</v>
      </c>
      <c r="L15" s="26" t="s">
        <v>120</v>
      </c>
    </row>
    <row r="16" spans="1:12" ht="30" customHeight="1" x14ac:dyDescent="0.2">
      <c r="A16" s="14" t="s">
        <v>121</v>
      </c>
      <c r="B16" s="23" t="s">
        <v>92</v>
      </c>
      <c r="C16" s="24">
        <f>-RF!C12/CE!C13</f>
        <v>0.3921568627450977</v>
      </c>
      <c r="D16" s="24">
        <f>-RF!D12/CE!D13</f>
        <v>0.39301310043668158</v>
      </c>
      <c r="E16" s="27">
        <v>0.4</v>
      </c>
      <c r="F16" s="27">
        <v>0.4</v>
      </c>
      <c r="G16" s="27">
        <v>0.4</v>
      </c>
      <c r="H16" s="27">
        <v>0.4</v>
      </c>
      <c r="I16" s="27">
        <v>0.4</v>
      </c>
      <c r="K16" s="26" t="s">
        <v>122</v>
      </c>
      <c r="L16" s="26" t="s">
        <v>123</v>
      </c>
    </row>
    <row r="18" spans="1:12" ht="18" customHeight="1" x14ac:dyDescent="0.2">
      <c r="A18" s="12" t="s">
        <v>124</v>
      </c>
      <c r="B18" s="33" t="s">
        <v>125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30" customHeight="1" x14ac:dyDescent="0.2">
      <c r="A19" s="14" t="s">
        <v>126</v>
      </c>
      <c r="B19" s="34" t="s">
        <v>127</v>
      </c>
      <c r="K19" s="26"/>
      <c r="L19" s="26" t="s">
        <v>128</v>
      </c>
    </row>
    <row r="20" spans="1:12" ht="43.5" customHeight="1" x14ac:dyDescent="0.2">
      <c r="A20" s="14" t="s">
        <v>129</v>
      </c>
      <c r="B20" s="25">
        <v>0.02</v>
      </c>
      <c r="K20" s="26"/>
      <c r="L20" s="26" t="s">
        <v>130</v>
      </c>
    </row>
    <row r="21" spans="1:12" ht="30" customHeight="1" x14ac:dyDescent="0.2">
      <c r="A21" s="14" t="s">
        <v>131</v>
      </c>
      <c r="B21" s="32">
        <v>50</v>
      </c>
      <c r="K21" s="26"/>
      <c r="L21" s="26" t="s">
        <v>132</v>
      </c>
    </row>
    <row r="22" spans="1:12" ht="30" customHeight="1" x14ac:dyDescent="0.2">
      <c r="A22" s="14" t="s">
        <v>133</v>
      </c>
      <c r="B22" s="35">
        <v>14.5</v>
      </c>
      <c r="K22" s="26"/>
      <c r="L22" s="26" t="s">
        <v>134</v>
      </c>
    </row>
    <row r="24" spans="1:12" ht="18" customHeight="1" x14ac:dyDescent="0.2">
      <c r="A24" s="12" t="s">
        <v>135</v>
      </c>
      <c r="B24" s="33" t="s">
        <v>125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30" customHeight="1" x14ac:dyDescent="0.2">
      <c r="A25" s="14" t="s">
        <v>136</v>
      </c>
      <c r="B25" s="25">
        <v>3.5000000000000003E-2</v>
      </c>
      <c r="K25" s="26"/>
      <c r="L25" s="26" t="s">
        <v>137</v>
      </c>
    </row>
    <row r="26" spans="1:12" ht="30" customHeight="1" x14ac:dyDescent="0.2">
      <c r="A26" s="14" t="s">
        <v>138</v>
      </c>
      <c r="B26" s="25">
        <v>5.5E-2</v>
      </c>
      <c r="K26" s="26"/>
      <c r="L26" s="26" t="s">
        <v>139</v>
      </c>
    </row>
    <row r="27" spans="1:12" ht="30" customHeight="1" x14ac:dyDescent="0.2">
      <c r="A27" s="14" t="s">
        <v>140</v>
      </c>
      <c r="B27" s="36">
        <v>0.9</v>
      </c>
      <c r="K27" s="26"/>
      <c r="L27" s="26" t="s">
        <v>141</v>
      </c>
    </row>
    <row r="28" spans="1:12" ht="43.5" customHeight="1" x14ac:dyDescent="0.2">
      <c r="A28" s="14" t="s">
        <v>142</v>
      </c>
      <c r="B28" s="27">
        <v>0.15</v>
      </c>
      <c r="K28" s="26"/>
      <c r="L28" s="26" t="s">
        <v>143</v>
      </c>
    </row>
    <row r="29" spans="1:12" ht="112" x14ac:dyDescent="0.2">
      <c r="A29" s="14" t="s">
        <v>144</v>
      </c>
      <c r="B29" s="27">
        <v>4.4999999999999998E-2</v>
      </c>
      <c r="K29" s="26"/>
      <c r="L29" s="26" t="s">
        <v>394</v>
      </c>
    </row>
  </sheetData>
  <mergeCells count="2">
    <mergeCell ref="B3:D3"/>
    <mergeCell ref="E3:I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3"/>
  <sheetViews>
    <sheetView showGridLines="0" tabSelected="1" zoomScale="132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0" sqref="D20"/>
    </sheetView>
  </sheetViews>
  <sheetFormatPr baseColWidth="10" defaultColWidth="8.6640625" defaultRowHeight="15" x14ac:dyDescent="0.2"/>
  <cols>
    <col min="1" max="1" width="50" customWidth="1"/>
    <col min="2" max="9" width="11" customWidth="1"/>
    <col min="10" max="10" width="2" customWidth="1"/>
    <col min="11" max="11" width="52" customWidth="1"/>
    <col min="12" max="12" width="88" customWidth="1"/>
  </cols>
  <sheetData>
    <row r="1" spans="1:12" ht="18" x14ac:dyDescent="0.2">
      <c r="A1" s="19" t="s">
        <v>145</v>
      </c>
    </row>
    <row r="2" spans="1:12" x14ac:dyDescent="0.2">
      <c r="A2" s="7" t="s">
        <v>146</v>
      </c>
    </row>
    <row r="3" spans="1:12" x14ac:dyDescent="0.2">
      <c r="B3" s="2" t="s">
        <v>77</v>
      </c>
      <c r="C3" s="2"/>
      <c r="D3" s="2"/>
      <c r="E3" s="1" t="s">
        <v>78</v>
      </c>
      <c r="F3" s="1"/>
      <c r="G3" s="1"/>
      <c r="H3" s="1"/>
      <c r="I3" s="1"/>
    </row>
    <row r="4" spans="1:12" x14ac:dyDescent="0.2">
      <c r="A4" s="8" t="s">
        <v>79</v>
      </c>
      <c r="B4" s="20" t="s">
        <v>80</v>
      </c>
      <c r="C4" s="20" t="s">
        <v>81</v>
      </c>
      <c r="D4" s="20" t="s">
        <v>82</v>
      </c>
      <c r="E4" s="21" t="s">
        <v>83</v>
      </c>
      <c r="F4" s="21" t="s">
        <v>84</v>
      </c>
      <c r="G4" s="21" t="s">
        <v>85</v>
      </c>
      <c r="H4" s="21" t="s">
        <v>86</v>
      </c>
      <c r="I4" s="21" t="s">
        <v>87</v>
      </c>
      <c r="K4" s="8" t="s">
        <v>88</v>
      </c>
      <c r="L4" s="8" t="s">
        <v>89</v>
      </c>
    </row>
    <row r="5" spans="1:12" ht="16.5" customHeight="1" x14ac:dyDescent="0.2">
      <c r="A5" s="14" t="s">
        <v>147</v>
      </c>
      <c r="B5" s="32">
        <v>400</v>
      </c>
      <c r="C5" s="32">
        <v>430</v>
      </c>
      <c r="D5" s="32">
        <v>460</v>
      </c>
      <c r="E5" s="37">
        <f>D5*(1+Ipotesi!E6)</f>
        <v>487.6</v>
      </c>
      <c r="F5" s="37">
        <f>E5*(1+Ipotesi!F6)</f>
        <v>514.41800000000001</v>
      </c>
      <c r="G5" s="37">
        <f>F5*(1+Ipotesi!G6)</f>
        <v>540.13890000000004</v>
      </c>
      <c r="H5" s="37">
        <f>G5*(1+Ipotesi!H6)</f>
        <v>561.74445600000001</v>
      </c>
      <c r="I5" s="37">
        <f>H5*(1+Ipotesi!I6)</f>
        <v>578.59678968000003</v>
      </c>
      <c r="K5" s="26" t="s">
        <v>148</v>
      </c>
      <c r="L5" s="26" t="s">
        <v>149</v>
      </c>
    </row>
    <row r="6" spans="1:12" ht="30" customHeight="1" x14ac:dyDescent="0.2">
      <c r="A6" s="14" t="s">
        <v>150</v>
      </c>
      <c r="B6" s="32">
        <v>324</v>
      </c>
      <c r="C6" s="32">
        <v>346</v>
      </c>
      <c r="D6" s="32">
        <v>368</v>
      </c>
      <c r="E6" s="37">
        <f>E5*(1-Ipotesi!E7)</f>
        <v>390.08000000000004</v>
      </c>
      <c r="F6" s="37">
        <f>F5*(1-Ipotesi!F7)</f>
        <v>408.96231</v>
      </c>
      <c r="G6" s="37">
        <f>G5*(1-Ipotesi!G7)</f>
        <v>426.70973100000003</v>
      </c>
      <c r="H6" s="37">
        <f>H5*(1-Ipotesi!H7)</f>
        <v>443.77812024000002</v>
      </c>
      <c r="I6" s="37">
        <f>I5*(1-Ipotesi!I7)</f>
        <v>457.09146384720003</v>
      </c>
      <c r="K6" s="26" t="s">
        <v>151</v>
      </c>
      <c r="L6" s="26" t="s">
        <v>152</v>
      </c>
    </row>
    <row r="7" spans="1:12" ht="30" customHeight="1" x14ac:dyDescent="0.2">
      <c r="A7" s="38" t="s">
        <v>153</v>
      </c>
      <c r="B7" s="39">
        <f t="shared" ref="B7:I7" si="0">B5-B6</f>
        <v>76</v>
      </c>
      <c r="C7" s="39">
        <f t="shared" si="0"/>
        <v>84</v>
      </c>
      <c r="D7" s="39">
        <f t="shared" si="0"/>
        <v>92</v>
      </c>
      <c r="E7" s="39">
        <f t="shared" si="0"/>
        <v>97.519999999999982</v>
      </c>
      <c r="F7" s="39">
        <f t="shared" si="0"/>
        <v>105.45569</v>
      </c>
      <c r="G7" s="39">
        <f t="shared" si="0"/>
        <v>113.429169</v>
      </c>
      <c r="H7" s="39">
        <f t="shared" si="0"/>
        <v>117.96633575999999</v>
      </c>
      <c r="I7" s="39">
        <f t="shared" si="0"/>
        <v>121.5053258328</v>
      </c>
      <c r="K7" s="26" t="s">
        <v>154</v>
      </c>
      <c r="L7" s="26" t="s">
        <v>155</v>
      </c>
    </row>
    <row r="8" spans="1:12" ht="30" customHeight="1" x14ac:dyDescent="0.2">
      <c r="A8" s="14" t="s">
        <v>156</v>
      </c>
      <c r="B8" s="32">
        <v>20</v>
      </c>
      <c r="C8" s="32">
        <v>21.5</v>
      </c>
      <c r="D8" s="32">
        <v>23</v>
      </c>
      <c r="E8" s="37">
        <f>E5*Ipotesi!E8</f>
        <v>24.380000000000003</v>
      </c>
      <c r="F8" s="37">
        <f>F5*Ipotesi!F8</f>
        <v>25.7209</v>
      </c>
      <c r="G8" s="37">
        <f>G5*Ipotesi!G8</f>
        <v>27.006945000000002</v>
      </c>
      <c r="H8" s="37">
        <f>H5*Ipotesi!H8</f>
        <v>28.087222800000003</v>
      </c>
      <c r="I8" s="37">
        <f>I5*Ipotesi!I8</f>
        <v>28.929839484000002</v>
      </c>
      <c r="K8" s="26" t="s">
        <v>157</v>
      </c>
      <c r="L8" s="26" t="s">
        <v>158</v>
      </c>
    </row>
    <row r="9" spans="1:12" ht="30" customHeight="1" x14ac:dyDescent="0.2">
      <c r="A9" s="38" t="s">
        <v>159</v>
      </c>
      <c r="B9" s="39">
        <f t="shared" ref="B9:I9" si="1">B7-B8</f>
        <v>56</v>
      </c>
      <c r="C9" s="39">
        <f t="shared" si="1"/>
        <v>62.5</v>
      </c>
      <c r="D9" s="39">
        <f t="shared" si="1"/>
        <v>69</v>
      </c>
      <c r="E9" s="39">
        <f t="shared" si="1"/>
        <v>73.139999999999986</v>
      </c>
      <c r="F9" s="39">
        <f t="shared" si="1"/>
        <v>79.734790000000004</v>
      </c>
      <c r="G9" s="39">
        <f t="shared" si="1"/>
        <v>86.422224</v>
      </c>
      <c r="H9" s="39">
        <f t="shared" si="1"/>
        <v>89.879112959999986</v>
      </c>
      <c r="I9" s="39">
        <f t="shared" si="1"/>
        <v>92.575486348799998</v>
      </c>
      <c r="K9" s="26" t="s">
        <v>160</v>
      </c>
      <c r="L9" s="26" t="s">
        <v>161</v>
      </c>
    </row>
    <row r="10" spans="1:12" ht="30" customHeight="1" x14ac:dyDescent="0.2">
      <c r="A10" s="14" t="s">
        <v>162</v>
      </c>
      <c r="B10" s="32">
        <v>6.3</v>
      </c>
      <c r="C10" s="32">
        <v>5.9</v>
      </c>
      <c r="D10" s="32">
        <v>5.4</v>
      </c>
      <c r="E10" s="37">
        <f>Ipotesi!E14*SP!D13</f>
        <v>4.95</v>
      </c>
      <c r="F10" s="37">
        <f>Ipotesi!F14*SP!E13</f>
        <v>4.5</v>
      </c>
      <c r="G10" s="37">
        <f>Ipotesi!G14*SP!F13</f>
        <v>4.05</v>
      </c>
      <c r="H10" s="37">
        <f>Ipotesi!H14*SP!G13</f>
        <v>3.5999999999999996</v>
      </c>
      <c r="I10" s="37">
        <f>Ipotesi!I14*SP!H13</f>
        <v>3.15</v>
      </c>
      <c r="K10" s="26" t="s">
        <v>163</v>
      </c>
      <c r="L10" s="26" t="s">
        <v>164</v>
      </c>
    </row>
    <row r="11" spans="1:12" ht="16.5" customHeight="1" x14ac:dyDescent="0.2">
      <c r="A11" s="38" t="s">
        <v>165</v>
      </c>
      <c r="B11" s="39">
        <f t="shared" ref="B11:I11" si="2">B9-B10</f>
        <v>49.7</v>
      </c>
      <c r="C11" s="39">
        <f t="shared" si="2"/>
        <v>56.6</v>
      </c>
      <c r="D11" s="39">
        <f t="shared" si="2"/>
        <v>63.6</v>
      </c>
      <c r="E11" s="39">
        <f t="shared" si="2"/>
        <v>68.189999999999984</v>
      </c>
      <c r="F11" s="39">
        <f t="shared" si="2"/>
        <v>75.234790000000004</v>
      </c>
      <c r="G11" s="39">
        <f t="shared" si="2"/>
        <v>82.372224000000003</v>
      </c>
      <c r="H11" s="39">
        <f t="shared" si="2"/>
        <v>86.279112959999992</v>
      </c>
      <c r="I11" s="39">
        <f t="shared" si="2"/>
        <v>89.425486348799993</v>
      </c>
      <c r="K11" s="26" t="s">
        <v>166</v>
      </c>
      <c r="L11" s="26" t="s">
        <v>167</v>
      </c>
    </row>
    <row r="12" spans="1:12" ht="30" customHeight="1" x14ac:dyDescent="0.2">
      <c r="A12" s="14" t="s">
        <v>168</v>
      </c>
      <c r="B12" s="32">
        <v>13.9</v>
      </c>
      <c r="C12" s="32">
        <v>15.8</v>
      </c>
      <c r="D12" s="32">
        <v>17.8</v>
      </c>
      <c r="E12" s="37">
        <f>E11*Ipotesi!E10</f>
        <v>19.093199999999996</v>
      </c>
      <c r="F12" s="37">
        <f>F11*Ipotesi!F10</f>
        <v>21.065741200000001</v>
      </c>
      <c r="G12" s="37">
        <f>G11*Ipotesi!G10</f>
        <v>23.064222720000004</v>
      </c>
      <c r="H12" s="37">
        <f>H11*Ipotesi!H10</f>
        <v>24.158151628799999</v>
      </c>
      <c r="I12" s="37">
        <f>I11*Ipotesi!I10</f>
        <v>25.039136177664002</v>
      </c>
      <c r="K12" s="26" t="s">
        <v>169</v>
      </c>
      <c r="L12" s="26" t="s">
        <v>170</v>
      </c>
    </row>
    <row r="13" spans="1:12" ht="30" customHeight="1" x14ac:dyDescent="0.2">
      <c r="A13" s="38" t="s">
        <v>171</v>
      </c>
      <c r="B13" s="39">
        <f t="shared" ref="B13:I13" si="3">B11-B12</f>
        <v>35.800000000000004</v>
      </c>
      <c r="C13" s="39">
        <f t="shared" si="3"/>
        <v>40.799999999999997</v>
      </c>
      <c r="D13" s="39">
        <f t="shared" si="3"/>
        <v>45.8</v>
      </c>
      <c r="E13" s="39">
        <f t="shared" si="3"/>
        <v>49.096799999999988</v>
      </c>
      <c r="F13" s="39">
        <f t="shared" si="3"/>
        <v>54.169048799999999</v>
      </c>
      <c r="G13" s="39">
        <f t="shared" si="3"/>
        <v>59.308001279999999</v>
      </c>
      <c r="H13" s="39">
        <f t="shared" si="3"/>
        <v>62.120961331199993</v>
      </c>
      <c r="I13" s="39">
        <f t="shared" si="3"/>
        <v>64.386350171135987</v>
      </c>
      <c r="K13" s="26" t="s">
        <v>172</v>
      </c>
      <c r="L13" s="26" t="s">
        <v>173</v>
      </c>
    </row>
  </sheetData>
  <mergeCells count="2">
    <mergeCell ref="B3:D3"/>
    <mergeCell ref="E3:I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6640625" defaultRowHeight="15" x14ac:dyDescent="0.2"/>
  <cols>
    <col min="1" max="1" width="50" customWidth="1"/>
    <col min="2" max="9" width="11" customWidth="1"/>
    <col min="10" max="10" width="2" customWidth="1"/>
    <col min="11" max="11" width="52" customWidth="1"/>
    <col min="12" max="12" width="88" customWidth="1"/>
  </cols>
  <sheetData>
    <row r="1" spans="1:12" ht="18" x14ac:dyDescent="0.2">
      <c r="A1" s="19" t="s">
        <v>174</v>
      </c>
    </row>
    <row r="2" spans="1:12" x14ac:dyDescent="0.2">
      <c r="A2" s="7" t="s">
        <v>175</v>
      </c>
    </row>
    <row r="3" spans="1:12" x14ac:dyDescent="0.2">
      <c r="B3" s="2" t="s">
        <v>77</v>
      </c>
      <c r="C3" s="2"/>
      <c r="D3" s="2"/>
      <c r="E3" s="1" t="s">
        <v>78</v>
      </c>
      <c r="F3" s="1"/>
      <c r="G3" s="1"/>
      <c r="H3" s="1"/>
      <c r="I3" s="1"/>
    </row>
    <row r="4" spans="1:12" x14ac:dyDescent="0.2">
      <c r="A4" s="8" t="s">
        <v>79</v>
      </c>
      <c r="B4" s="20" t="s">
        <v>80</v>
      </c>
      <c r="C4" s="20" t="s">
        <v>81</v>
      </c>
      <c r="D4" s="20" t="s">
        <v>82</v>
      </c>
      <c r="E4" s="21" t="s">
        <v>83</v>
      </c>
      <c r="F4" s="21" t="s">
        <v>84</v>
      </c>
      <c r="G4" s="21" t="s">
        <v>85</v>
      </c>
      <c r="H4" s="21" t="s">
        <v>86</v>
      </c>
      <c r="I4" s="21" t="s">
        <v>87</v>
      </c>
      <c r="K4" s="8" t="s">
        <v>88</v>
      </c>
      <c r="L4" s="8" t="s">
        <v>89</v>
      </c>
    </row>
    <row r="5" spans="1:12" ht="18" customHeight="1" x14ac:dyDescent="0.2">
      <c r="A5" s="12" t="s">
        <v>176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30" customHeight="1" x14ac:dyDescent="0.2">
      <c r="A6" s="14" t="s">
        <v>177</v>
      </c>
      <c r="B6" s="32">
        <v>200</v>
      </c>
      <c r="C6" s="32">
        <v>205</v>
      </c>
      <c r="D6" s="32">
        <v>211</v>
      </c>
      <c r="E6" s="37">
        <f>D6-RF!E9-CE!E8</f>
        <v>215.876</v>
      </c>
      <c r="F6" s="37">
        <f>E6-RF!F9-CE!F8</f>
        <v>221.02018000000001</v>
      </c>
      <c r="G6" s="37">
        <f>F6-RF!G9-CE!G8</f>
        <v>223.72087450000001</v>
      </c>
      <c r="H6" s="37">
        <f>G6-RF!H9-CE!H8</f>
        <v>226.52959677999999</v>
      </c>
      <c r="I6" s="37">
        <f>H6-RF!I9-CE!I8</f>
        <v>229.42258072839996</v>
      </c>
      <c r="K6" s="26" t="s">
        <v>178</v>
      </c>
      <c r="L6" s="26" t="s">
        <v>179</v>
      </c>
    </row>
    <row r="7" spans="1:12" ht="16.5" customHeight="1" x14ac:dyDescent="0.2">
      <c r="A7" s="14" t="s">
        <v>180</v>
      </c>
      <c r="B7" s="32">
        <v>66</v>
      </c>
      <c r="C7" s="32">
        <v>71</v>
      </c>
      <c r="D7" s="32">
        <v>76</v>
      </c>
      <c r="E7" s="37">
        <f>CE!E5*Ipotesi!E11/365</f>
        <v>80.153424657534245</v>
      </c>
      <c r="F7" s="37">
        <f>CE!F5*Ipotesi!F11/365</f>
        <v>84.561863013698641</v>
      </c>
      <c r="G7" s="37">
        <f>CE!G5*Ipotesi!G11/365</f>
        <v>88.789956164383568</v>
      </c>
      <c r="H7" s="37">
        <f>CE!H5*Ipotesi!H11/365</f>
        <v>92.341554410958906</v>
      </c>
      <c r="I7" s="37">
        <f>CE!I5*Ipotesi!I11/365</f>
        <v>95.111801043287684</v>
      </c>
      <c r="K7" s="26" t="s">
        <v>181</v>
      </c>
      <c r="L7" s="26" t="s">
        <v>182</v>
      </c>
    </row>
    <row r="8" spans="1:12" ht="16.5" customHeight="1" x14ac:dyDescent="0.2">
      <c r="A8" s="14" t="s">
        <v>183</v>
      </c>
      <c r="B8" s="32">
        <v>40</v>
      </c>
      <c r="C8" s="32">
        <v>43</v>
      </c>
      <c r="D8" s="32">
        <v>45</v>
      </c>
      <c r="E8" s="37">
        <f>CE!E6*Ipotesi!E12/365</f>
        <v>48.092054794520557</v>
      </c>
      <c r="F8" s="37">
        <f>CE!F6*Ipotesi!F12/365</f>
        <v>50.420010821917813</v>
      </c>
      <c r="G8" s="37">
        <f>CE!G6*Ipotesi!G12/365</f>
        <v>52.608049027397264</v>
      </c>
      <c r="H8" s="37">
        <f>CE!H6*Ipotesi!H12/365</f>
        <v>54.712370988493156</v>
      </c>
      <c r="I8" s="37">
        <f>CE!I6*Ipotesi!I12/365</f>
        <v>56.353742118147956</v>
      </c>
      <c r="K8" s="26" t="s">
        <v>184</v>
      </c>
      <c r="L8" s="26" t="s">
        <v>185</v>
      </c>
    </row>
    <row r="9" spans="1:12" ht="30" customHeight="1" x14ac:dyDescent="0.2">
      <c r="A9" s="14" t="s">
        <v>186</v>
      </c>
      <c r="B9" s="32">
        <v>30</v>
      </c>
      <c r="C9" s="32">
        <v>35.799999999999997</v>
      </c>
      <c r="D9" s="32">
        <v>45.6</v>
      </c>
      <c r="E9" s="31">
        <f>RF!E16</f>
        <v>56.746463561643822</v>
      </c>
      <c r="F9" s="31">
        <f>RF!F16</f>
        <v>70.988583389589024</v>
      </c>
      <c r="G9" s="31">
        <f>RF!G16</f>
        <v>90.860173287725999</v>
      </c>
      <c r="H9" s="31">
        <f>RF!H16</f>
        <v>112.94149731603505</v>
      </c>
      <c r="I9" s="31">
        <f>RF!I16</f>
        <v>136.82194968779606</v>
      </c>
      <c r="K9" s="26" t="s">
        <v>187</v>
      </c>
      <c r="L9" s="26" t="s">
        <v>188</v>
      </c>
    </row>
    <row r="10" spans="1:12" ht="16.5" customHeight="1" x14ac:dyDescent="0.2">
      <c r="A10" s="38" t="s">
        <v>189</v>
      </c>
      <c r="B10" s="39">
        <f t="shared" ref="B10:I10" si="0">SUM(B6:B9)</f>
        <v>336</v>
      </c>
      <c r="C10" s="39">
        <f t="shared" si="0"/>
        <v>354.8</v>
      </c>
      <c r="D10" s="39">
        <f t="shared" si="0"/>
        <v>377.6</v>
      </c>
      <c r="E10" s="39">
        <f t="shared" si="0"/>
        <v>400.86794301369866</v>
      </c>
      <c r="F10" s="39">
        <f t="shared" si="0"/>
        <v>426.99063722520543</v>
      </c>
      <c r="G10" s="39">
        <f t="shared" si="0"/>
        <v>455.97905297950683</v>
      </c>
      <c r="H10" s="39">
        <f t="shared" si="0"/>
        <v>486.52501949548713</v>
      </c>
      <c r="I10" s="39">
        <f t="shared" si="0"/>
        <v>517.71007357763165</v>
      </c>
      <c r="K10" s="26" t="s">
        <v>190</v>
      </c>
      <c r="L10" s="26"/>
    </row>
    <row r="11" spans="1:12" ht="18" customHeight="1" x14ac:dyDescent="0.2">
      <c r="A11" s="12" t="s">
        <v>191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ht="16.5" customHeight="1" x14ac:dyDescent="0.2">
      <c r="A12" s="14" t="s">
        <v>192</v>
      </c>
      <c r="B12" s="32">
        <v>62</v>
      </c>
      <c r="C12" s="32">
        <v>66</v>
      </c>
      <c r="D12" s="32">
        <v>71</v>
      </c>
      <c r="E12" s="37">
        <f>CE!E6*Ipotesi!E13/365</f>
        <v>74.809863013698632</v>
      </c>
      <c r="F12" s="37">
        <f>CE!F6*Ipotesi!F13/365</f>
        <v>78.431127945205489</v>
      </c>
      <c r="G12" s="37">
        <f>CE!G6*Ipotesi!G13/365</f>
        <v>81.834742931506852</v>
      </c>
      <c r="H12" s="37">
        <f>CE!H6*Ipotesi!H13/365</f>
        <v>85.108132648767125</v>
      </c>
      <c r="I12" s="37">
        <f>CE!I6*Ipotesi!I13/365</f>
        <v>87.661376628230144</v>
      </c>
      <c r="K12" s="26" t="s">
        <v>193</v>
      </c>
      <c r="L12" s="26" t="s">
        <v>194</v>
      </c>
    </row>
    <row r="13" spans="1:12" ht="16.5" customHeight="1" x14ac:dyDescent="0.2">
      <c r="A13" s="14" t="s">
        <v>195</v>
      </c>
      <c r="B13" s="32">
        <v>130</v>
      </c>
      <c r="C13" s="32">
        <v>120</v>
      </c>
      <c r="D13" s="32">
        <v>110</v>
      </c>
      <c r="E13" s="37">
        <f>D13+RF!E11</f>
        <v>100</v>
      </c>
      <c r="F13" s="37">
        <f>E13+RF!F11</f>
        <v>90</v>
      </c>
      <c r="G13" s="37">
        <f>F13+RF!G11</f>
        <v>80</v>
      </c>
      <c r="H13" s="37">
        <f>G13+RF!H11</f>
        <v>70</v>
      </c>
      <c r="I13" s="37">
        <f>H13+RF!I11</f>
        <v>60</v>
      </c>
      <c r="K13" s="26" t="s">
        <v>196</v>
      </c>
      <c r="L13" s="26" t="s">
        <v>197</v>
      </c>
    </row>
    <row r="14" spans="1:12" ht="30" customHeight="1" x14ac:dyDescent="0.2">
      <c r="A14" s="14" t="s">
        <v>198</v>
      </c>
      <c r="B14" s="32">
        <v>144</v>
      </c>
      <c r="C14" s="32">
        <v>168.8</v>
      </c>
      <c r="D14" s="32">
        <v>196.6</v>
      </c>
      <c r="E14" s="37">
        <f>D14+CE!E13+RF!E12</f>
        <v>226.05807999999999</v>
      </c>
      <c r="F14" s="37">
        <f>E14+CE!F13+RF!F12</f>
        <v>258.55950927999999</v>
      </c>
      <c r="G14" s="37">
        <f>F14+CE!G13+RF!G12</f>
        <v>294.14431004799997</v>
      </c>
      <c r="H14" s="37">
        <f>G14+CE!H13+RF!H12</f>
        <v>331.41688684671993</v>
      </c>
      <c r="I14" s="37">
        <f>H14+CE!I13+RF!I12</f>
        <v>370.04869694940152</v>
      </c>
      <c r="K14" s="26" t="s">
        <v>199</v>
      </c>
      <c r="L14" s="26" t="s">
        <v>200</v>
      </c>
    </row>
    <row r="15" spans="1:12" ht="16.5" customHeight="1" x14ac:dyDescent="0.2">
      <c r="A15" s="38" t="s">
        <v>201</v>
      </c>
      <c r="B15" s="39">
        <f t="shared" ref="B15:I15" si="1">SUM(B12:B14)</f>
        <v>336</v>
      </c>
      <c r="C15" s="39">
        <f t="shared" si="1"/>
        <v>354.8</v>
      </c>
      <c r="D15" s="39">
        <f t="shared" si="1"/>
        <v>377.6</v>
      </c>
      <c r="E15" s="39">
        <f t="shared" si="1"/>
        <v>400.86794301369866</v>
      </c>
      <c r="F15" s="39">
        <f t="shared" si="1"/>
        <v>426.99063722520549</v>
      </c>
      <c r="G15" s="39">
        <f t="shared" si="1"/>
        <v>455.97905297950683</v>
      </c>
      <c r="H15" s="39">
        <f t="shared" si="1"/>
        <v>486.52501949548707</v>
      </c>
      <c r="I15" s="39">
        <f t="shared" si="1"/>
        <v>517.71007357763165</v>
      </c>
      <c r="K15" s="26" t="s">
        <v>202</v>
      </c>
      <c r="L15" s="26"/>
    </row>
    <row r="16" spans="1:12" ht="30" customHeight="1" x14ac:dyDescent="0.2">
      <c r="A16" s="40" t="s">
        <v>203</v>
      </c>
      <c r="B16" s="41">
        <f t="shared" ref="B16:I16" si="2">ROUND(B10-B15,6)</f>
        <v>0</v>
      </c>
      <c r="C16" s="41">
        <f t="shared" si="2"/>
        <v>0</v>
      </c>
      <c r="D16" s="41">
        <f t="shared" si="2"/>
        <v>0</v>
      </c>
      <c r="E16" s="41">
        <f t="shared" si="2"/>
        <v>0</v>
      </c>
      <c r="F16" s="41">
        <f t="shared" si="2"/>
        <v>0</v>
      </c>
      <c r="G16" s="41">
        <f t="shared" si="2"/>
        <v>0</v>
      </c>
      <c r="H16" s="41">
        <f t="shared" si="2"/>
        <v>0</v>
      </c>
      <c r="I16" s="41">
        <f t="shared" si="2"/>
        <v>0</v>
      </c>
      <c r="K16" s="26" t="s">
        <v>204</v>
      </c>
      <c r="L16" s="26" t="s">
        <v>205</v>
      </c>
    </row>
    <row r="18" spans="1:12" ht="18" customHeight="1" x14ac:dyDescent="0.2">
      <c r="A18" s="12" t="s">
        <v>206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30" customHeight="1" x14ac:dyDescent="0.2">
      <c r="A19" s="14" t="s">
        <v>207</v>
      </c>
      <c r="B19" s="37">
        <f t="shared" ref="B19:I19" si="3">B7+B8-B12</f>
        <v>44</v>
      </c>
      <c r="C19" s="37">
        <f t="shared" si="3"/>
        <v>48</v>
      </c>
      <c r="D19" s="37">
        <f t="shared" si="3"/>
        <v>50</v>
      </c>
      <c r="E19" s="37">
        <f t="shared" si="3"/>
        <v>53.435616438356178</v>
      </c>
      <c r="F19" s="37">
        <f t="shared" si="3"/>
        <v>56.550745890410965</v>
      </c>
      <c r="G19" s="37">
        <f t="shared" si="3"/>
        <v>59.563262260273987</v>
      </c>
      <c r="H19" s="37">
        <f t="shared" si="3"/>
        <v>61.94579275068493</v>
      </c>
      <c r="I19" s="37">
        <f t="shared" si="3"/>
        <v>63.804166533205503</v>
      </c>
      <c r="K19" s="26" t="s">
        <v>208</v>
      </c>
      <c r="L19" s="26" t="s">
        <v>209</v>
      </c>
    </row>
    <row r="20" spans="1:12" ht="30" customHeight="1" x14ac:dyDescent="0.2">
      <c r="A20" s="14" t="s">
        <v>210</v>
      </c>
      <c r="B20" s="37">
        <f t="shared" ref="B20:I20" si="4">B13-B9</f>
        <v>100</v>
      </c>
      <c r="C20" s="37">
        <f t="shared" si="4"/>
        <v>84.2</v>
      </c>
      <c r="D20" s="37">
        <f t="shared" si="4"/>
        <v>64.400000000000006</v>
      </c>
      <c r="E20" s="37">
        <f t="shared" si="4"/>
        <v>43.253536438356178</v>
      </c>
      <c r="F20" s="37">
        <f t="shared" si="4"/>
        <v>19.011416610410976</v>
      </c>
      <c r="G20" s="37">
        <f t="shared" si="4"/>
        <v>-10.860173287725999</v>
      </c>
      <c r="H20" s="37">
        <f t="shared" si="4"/>
        <v>-42.941497316035054</v>
      </c>
      <c r="I20" s="37">
        <f t="shared" si="4"/>
        <v>-76.821949687796064</v>
      </c>
      <c r="K20" s="26" t="s">
        <v>211</v>
      </c>
      <c r="L20" s="26" t="s">
        <v>212</v>
      </c>
    </row>
    <row r="21" spans="1:12" ht="30" customHeight="1" x14ac:dyDescent="0.2">
      <c r="A21" s="38" t="s">
        <v>213</v>
      </c>
      <c r="B21" s="39">
        <f t="shared" ref="B21:I21" si="5">B6+B19</f>
        <v>244</v>
      </c>
      <c r="C21" s="39">
        <f t="shared" si="5"/>
        <v>253</v>
      </c>
      <c r="D21" s="39">
        <f t="shared" si="5"/>
        <v>261</v>
      </c>
      <c r="E21" s="39">
        <f t="shared" si="5"/>
        <v>269.31161643835617</v>
      </c>
      <c r="F21" s="39">
        <f t="shared" si="5"/>
        <v>277.57092589041099</v>
      </c>
      <c r="G21" s="39">
        <f t="shared" si="5"/>
        <v>283.28413676027401</v>
      </c>
      <c r="H21" s="39">
        <f t="shared" si="5"/>
        <v>288.47538953068494</v>
      </c>
      <c r="I21" s="39">
        <f t="shared" si="5"/>
        <v>293.22674726160545</v>
      </c>
      <c r="K21" s="26" t="s">
        <v>214</v>
      </c>
      <c r="L21" s="26" t="s">
        <v>215</v>
      </c>
    </row>
    <row r="22" spans="1:12" ht="30" customHeight="1" x14ac:dyDescent="0.2">
      <c r="A22" s="40" t="s">
        <v>216</v>
      </c>
      <c r="B22" s="41">
        <f t="shared" ref="B22:I22" si="6">ROUND(B21-(B14+B20),6)</f>
        <v>0</v>
      </c>
      <c r="C22" s="41">
        <f t="shared" si="6"/>
        <v>0</v>
      </c>
      <c r="D22" s="41">
        <f t="shared" si="6"/>
        <v>0</v>
      </c>
      <c r="E22" s="41">
        <f t="shared" si="6"/>
        <v>0</v>
      </c>
      <c r="F22" s="41">
        <f t="shared" si="6"/>
        <v>0</v>
      </c>
      <c r="G22" s="41">
        <f t="shared" si="6"/>
        <v>0</v>
      </c>
      <c r="H22" s="41">
        <f t="shared" si="6"/>
        <v>0</v>
      </c>
      <c r="I22" s="41">
        <f t="shared" si="6"/>
        <v>0</v>
      </c>
      <c r="K22" s="26" t="s">
        <v>217</v>
      </c>
      <c r="L22" s="26" t="s">
        <v>218</v>
      </c>
    </row>
  </sheetData>
  <mergeCells count="2">
    <mergeCell ref="B3:D3"/>
    <mergeCell ref="E3:I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7"/>
  <sheetViews>
    <sheetView showGridLines="0" zoomScale="150"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C12" sqref="C12"/>
    </sheetView>
  </sheetViews>
  <sheetFormatPr baseColWidth="10" defaultColWidth="8.6640625" defaultRowHeight="15" x14ac:dyDescent="0.2"/>
  <cols>
    <col min="1" max="1" width="50" customWidth="1"/>
    <col min="2" max="9" width="11" customWidth="1"/>
    <col min="10" max="10" width="2" customWidth="1"/>
    <col min="11" max="11" width="52" customWidth="1"/>
    <col min="12" max="12" width="88" customWidth="1"/>
  </cols>
  <sheetData>
    <row r="1" spans="1:12" ht="18" x14ac:dyDescent="0.2">
      <c r="A1" s="19" t="s">
        <v>219</v>
      </c>
    </row>
    <row r="2" spans="1:12" x14ac:dyDescent="0.2">
      <c r="A2" s="7" t="s">
        <v>220</v>
      </c>
    </row>
    <row r="3" spans="1:12" x14ac:dyDescent="0.2">
      <c r="B3" s="2" t="s">
        <v>77</v>
      </c>
      <c r="C3" s="2"/>
      <c r="D3" s="2"/>
      <c r="E3" s="1" t="s">
        <v>78</v>
      </c>
      <c r="F3" s="1"/>
      <c r="G3" s="1"/>
      <c r="H3" s="1"/>
      <c r="I3" s="1"/>
    </row>
    <row r="4" spans="1:12" x14ac:dyDescent="0.2">
      <c r="A4" s="8" t="s">
        <v>79</v>
      </c>
      <c r="B4" s="20" t="s">
        <v>80</v>
      </c>
      <c r="C4" s="20" t="s">
        <v>81</v>
      </c>
      <c r="D4" s="20" t="s">
        <v>82</v>
      </c>
      <c r="E4" s="21" t="s">
        <v>83</v>
      </c>
      <c r="F4" s="21" t="s">
        <v>84</v>
      </c>
      <c r="G4" s="21" t="s">
        <v>85</v>
      </c>
      <c r="H4" s="21" t="s">
        <v>86</v>
      </c>
      <c r="I4" s="21" t="s">
        <v>87</v>
      </c>
      <c r="K4" s="8" t="s">
        <v>88</v>
      </c>
      <c r="L4" s="8" t="s">
        <v>89</v>
      </c>
    </row>
    <row r="5" spans="1:12" ht="30" customHeight="1" x14ac:dyDescent="0.2">
      <c r="A5" s="14" t="s">
        <v>171</v>
      </c>
      <c r="B5" s="30" t="s">
        <v>92</v>
      </c>
      <c r="C5" s="31">
        <f>CE!C13</f>
        <v>40.799999999999997</v>
      </c>
      <c r="D5" s="31">
        <f>CE!D13</f>
        <v>45.8</v>
      </c>
      <c r="E5" s="31">
        <f>CE!E13</f>
        <v>49.096799999999988</v>
      </c>
      <c r="F5" s="31">
        <f>CE!F13</f>
        <v>54.169048799999999</v>
      </c>
      <c r="G5" s="31">
        <f>CE!G13</f>
        <v>59.308001279999999</v>
      </c>
      <c r="H5" s="31">
        <f>CE!H13</f>
        <v>62.120961331199993</v>
      </c>
      <c r="I5" s="31">
        <f>CE!I13</f>
        <v>64.386350171135987</v>
      </c>
      <c r="K5" s="26" t="s">
        <v>221</v>
      </c>
      <c r="L5" s="26" t="s">
        <v>222</v>
      </c>
    </row>
    <row r="6" spans="1:12" ht="16.5" customHeight="1" x14ac:dyDescent="0.2">
      <c r="A6" s="14" t="s">
        <v>223</v>
      </c>
      <c r="B6" s="30" t="s">
        <v>92</v>
      </c>
      <c r="C6" s="31">
        <f>CE!C8</f>
        <v>21.5</v>
      </c>
      <c r="D6" s="31">
        <f>CE!D8</f>
        <v>23</v>
      </c>
      <c r="E6" s="31">
        <f>CE!E8</f>
        <v>24.380000000000003</v>
      </c>
      <c r="F6" s="31">
        <f>CE!F8</f>
        <v>25.7209</v>
      </c>
      <c r="G6" s="31">
        <f>CE!G8</f>
        <v>27.006945000000002</v>
      </c>
      <c r="H6" s="31">
        <f>CE!H8</f>
        <v>28.087222800000003</v>
      </c>
      <c r="I6" s="31">
        <f>CE!I8</f>
        <v>28.929839484000002</v>
      </c>
      <c r="K6" s="26" t="s">
        <v>221</v>
      </c>
      <c r="L6" s="26" t="s">
        <v>224</v>
      </c>
    </row>
    <row r="7" spans="1:12" ht="30" customHeight="1" x14ac:dyDescent="0.2">
      <c r="A7" s="14" t="s">
        <v>225</v>
      </c>
      <c r="B7" s="30" t="s">
        <v>92</v>
      </c>
      <c r="C7" s="37">
        <f>-(SP!C19-SP!B19)</f>
        <v>-4</v>
      </c>
      <c r="D7" s="37">
        <f>-(SP!D19-SP!C19)</f>
        <v>-2</v>
      </c>
      <c r="E7" s="37">
        <f>-(SP!E19-SP!D19)</f>
        <v>-3.4356164383561776</v>
      </c>
      <c r="F7" s="37">
        <f>-(SP!F19-SP!E19)</f>
        <v>-3.1151294520547879</v>
      </c>
      <c r="G7" s="37">
        <f>-(SP!G19-SP!F19)</f>
        <v>-3.0125163698630217</v>
      </c>
      <c r="H7" s="37">
        <f>-(SP!H19-SP!G19)</f>
        <v>-2.382530490410943</v>
      </c>
      <c r="I7" s="37">
        <f>-(SP!I19-SP!H19)</f>
        <v>-1.8583737825205731</v>
      </c>
      <c r="K7" s="26" t="s">
        <v>226</v>
      </c>
      <c r="L7" s="26" t="s">
        <v>227</v>
      </c>
    </row>
    <row r="8" spans="1:12" ht="16.5" customHeight="1" x14ac:dyDescent="0.2">
      <c r="A8" s="38" t="s">
        <v>228</v>
      </c>
      <c r="B8" s="42" t="s">
        <v>92</v>
      </c>
      <c r="C8" s="39">
        <f t="shared" ref="C8:I8" si="0">SUM(C5:C7)</f>
        <v>58.3</v>
      </c>
      <c r="D8" s="39">
        <f t="shared" si="0"/>
        <v>66.8</v>
      </c>
      <c r="E8" s="39">
        <f t="shared" si="0"/>
        <v>70.04118356164382</v>
      </c>
      <c r="F8" s="39">
        <f t="shared" si="0"/>
        <v>76.774819347945211</v>
      </c>
      <c r="G8" s="39">
        <f t="shared" si="0"/>
        <v>83.302429910136979</v>
      </c>
      <c r="H8" s="39">
        <f t="shared" si="0"/>
        <v>87.825653640789056</v>
      </c>
      <c r="I8" s="39">
        <f t="shared" si="0"/>
        <v>91.457815872615413</v>
      </c>
      <c r="K8" s="26" t="s">
        <v>229</v>
      </c>
      <c r="L8" s="26" t="s">
        <v>230</v>
      </c>
    </row>
    <row r="9" spans="1:12" ht="30" customHeight="1" x14ac:dyDescent="0.2">
      <c r="A9" s="14" t="s">
        <v>231</v>
      </c>
      <c r="B9" s="30" t="s">
        <v>92</v>
      </c>
      <c r="C9" s="37">
        <f>-(SP!C6-SP!B6+CE!C8)</f>
        <v>-26.5</v>
      </c>
      <c r="D9" s="37">
        <f>-(SP!D6-SP!C6+CE!D8)</f>
        <v>-29</v>
      </c>
      <c r="E9" s="37">
        <f>-CE!E5*Ipotesi!E9</f>
        <v>-29.256</v>
      </c>
      <c r="F9" s="37">
        <f>-CE!F5*Ipotesi!F9</f>
        <v>-30.865079999999999</v>
      </c>
      <c r="G9" s="37">
        <f>-CE!G5*Ipotesi!G9</f>
        <v>-29.707639500000003</v>
      </c>
      <c r="H9" s="37">
        <f>-CE!H5*Ipotesi!H9</f>
        <v>-30.895945080000001</v>
      </c>
      <c r="I9" s="37">
        <f>-CE!I5*Ipotesi!I9</f>
        <v>-31.822823432400003</v>
      </c>
      <c r="K9" s="26" t="s">
        <v>232</v>
      </c>
      <c r="L9" s="26" t="s">
        <v>233</v>
      </c>
    </row>
    <row r="10" spans="1:12" ht="16.5" customHeight="1" x14ac:dyDescent="0.2">
      <c r="A10" s="38" t="s">
        <v>234</v>
      </c>
      <c r="B10" s="42" t="s">
        <v>92</v>
      </c>
      <c r="C10" s="39">
        <f t="shared" ref="C10:I10" si="1">C9</f>
        <v>-26.5</v>
      </c>
      <c r="D10" s="39">
        <f t="shared" si="1"/>
        <v>-29</v>
      </c>
      <c r="E10" s="39">
        <f t="shared" si="1"/>
        <v>-29.256</v>
      </c>
      <c r="F10" s="39">
        <f t="shared" si="1"/>
        <v>-30.865079999999999</v>
      </c>
      <c r="G10" s="39">
        <f t="shared" si="1"/>
        <v>-29.707639500000003</v>
      </c>
      <c r="H10" s="39">
        <f t="shared" si="1"/>
        <v>-30.895945080000001</v>
      </c>
      <c r="I10" s="39">
        <f t="shared" si="1"/>
        <v>-31.822823432400003</v>
      </c>
      <c r="K10" s="26" t="s">
        <v>235</v>
      </c>
      <c r="L10" s="26"/>
    </row>
    <row r="11" spans="1:12" ht="30" customHeight="1" x14ac:dyDescent="0.2">
      <c r="A11" s="14" t="s">
        <v>236</v>
      </c>
      <c r="B11" s="30" t="s">
        <v>92</v>
      </c>
      <c r="C11" s="37">
        <f>SP!C13-SP!B13</f>
        <v>-10</v>
      </c>
      <c r="D11" s="37">
        <f>SP!D13-SP!C13</f>
        <v>-10</v>
      </c>
      <c r="E11" s="31">
        <f>-Ipotesi!E15</f>
        <v>-10</v>
      </c>
      <c r="F11" s="31">
        <f>-Ipotesi!F15</f>
        <v>-10</v>
      </c>
      <c r="G11" s="31">
        <f>-Ipotesi!G15</f>
        <v>-10</v>
      </c>
      <c r="H11" s="31">
        <f>-Ipotesi!H15</f>
        <v>-10</v>
      </c>
      <c r="I11" s="31">
        <f>-Ipotesi!I15</f>
        <v>-10</v>
      </c>
      <c r="K11" s="26" t="s">
        <v>237</v>
      </c>
      <c r="L11" s="26" t="s">
        <v>238</v>
      </c>
    </row>
    <row r="12" spans="1:12" ht="30" customHeight="1" x14ac:dyDescent="0.2">
      <c r="A12" s="14" t="s">
        <v>239</v>
      </c>
      <c r="B12" s="30" t="s">
        <v>92</v>
      </c>
      <c r="C12" s="37">
        <f>-(CE!C13-(SP!C14-SP!B14))</f>
        <v>-15.999999999999986</v>
      </c>
      <c r="D12" s="37">
        <f>-(CE!D13-(SP!D14-SP!C14))</f>
        <v>-18.000000000000014</v>
      </c>
      <c r="E12" s="37">
        <f>-CE!E13*Ipotesi!E16</f>
        <v>-19.638719999999996</v>
      </c>
      <c r="F12" s="37">
        <f>-CE!F13*Ipotesi!F16</f>
        <v>-21.667619520000002</v>
      </c>
      <c r="G12" s="37">
        <f>-CE!G13*Ipotesi!G16</f>
        <v>-23.723200512000002</v>
      </c>
      <c r="H12" s="37">
        <f>-CE!H13*Ipotesi!H16</f>
        <v>-24.848384532479997</v>
      </c>
      <c r="I12" s="37">
        <f>-CE!I13*Ipotesi!I16</f>
        <v>-25.754540068454396</v>
      </c>
      <c r="K12" s="26" t="s">
        <v>240</v>
      </c>
      <c r="L12" s="26" t="s">
        <v>241</v>
      </c>
    </row>
    <row r="13" spans="1:12" ht="16.5" customHeight="1" x14ac:dyDescent="0.2">
      <c r="A13" s="38" t="s">
        <v>242</v>
      </c>
      <c r="B13" s="42" t="s">
        <v>92</v>
      </c>
      <c r="C13" s="39">
        <f t="shared" ref="C13:I13" si="2">C11+C12</f>
        <v>-25.999999999999986</v>
      </c>
      <c r="D13" s="39">
        <f t="shared" si="2"/>
        <v>-28.000000000000014</v>
      </c>
      <c r="E13" s="39">
        <f t="shared" si="2"/>
        <v>-29.638719999999996</v>
      </c>
      <c r="F13" s="39">
        <f t="shared" si="2"/>
        <v>-31.667619520000002</v>
      </c>
      <c r="G13" s="39">
        <f t="shared" si="2"/>
        <v>-33.723200512000005</v>
      </c>
      <c r="H13" s="39">
        <f t="shared" si="2"/>
        <v>-34.848384532479997</v>
      </c>
      <c r="I13" s="39">
        <f t="shared" si="2"/>
        <v>-35.754540068454396</v>
      </c>
      <c r="K13" s="26" t="s">
        <v>243</v>
      </c>
      <c r="L13" s="26" t="s">
        <v>244</v>
      </c>
    </row>
    <row r="14" spans="1:12" ht="16.5" customHeight="1" x14ac:dyDescent="0.2">
      <c r="A14" s="38" t="s">
        <v>245</v>
      </c>
      <c r="B14" s="42" t="s">
        <v>92</v>
      </c>
      <c r="C14" s="39">
        <f t="shared" ref="C14:I14" si="3">C8+C10+C13</f>
        <v>5.8000000000000114</v>
      </c>
      <c r="D14" s="39">
        <f t="shared" si="3"/>
        <v>9.7999999999999829</v>
      </c>
      <c r="E14" s="39">
        <f t="shared" si="3"/>
        <v>11.146463561643824</v>
      </c>
      <c r="F14" s="39">
        <f t="shared" si="3"/>
        <v>14.24211982794521</v>
      </c>
      <c r="G14" s="39">
        <f t="shared" si="3"/>
        <v>19.871589898136975</v>
      </c>
      <c r="H14" s="39">
        <f t="shared" si="3"/>
        <v>22.081324028309055</v>
      </c>
      <c r="I14" s="39">
        <f t="shared" si="3"/>
        <v>23.880452371761017</v>
      </c>
      <c r="K14" s="26" t="s">
        <v>246</v>
      </c>
      <c r="L14" s="26"/>
    </row>
    <row r="15" spans="1:12" ht="16.5" customHeight="1" x14ac:dyDescent="0.2">
      <c r="A15" s="14" t="s">
        <v>247</v>
      </c>
      <c r="B15" s="30" t="s">
        <v>92</v>
      </c>
      <c r="C15" s="31">
        <f>SP!B9</f>
        <v>30</v>
      </c>
      <c r="D15" s="31">
        <f>SP!C9</f>
        <v>35.799999999999997</v>
      </c>
      <c r="E15" s="31">
        <f>SP!D9</f>
        <v>45.6</v>
      </c>
      <c r="F15" s="31">
        <f>SP!E9</f>
        <v>56.746463561643822</v>
      </c>
      <c r="G15" s="31">
        <f>SP!F9</f>
        <v>70.988583389589024</v>
      </c>
      <c r="H15" s="31">
        <f>SP!G9</f>
        <v>90.860173287725999</v>
      </c>
      <c r="I15" s="31">
        <f>SP!H9</f>
        <v>112.94149731603505</v>
      </c>
      <c r="K15" s="26" t="s">
        <v>248</v>
      </c>
      <c r="L15" s="26"/>
    </row>
    <row r="16" spans="1:12" ht="16.5" customHeight="1" x14ac:dyDescent="0.2">
      <c r="A16" s="38" t="s">
        <v>249</v>
      </c>
      <c r="B16" s="42" t="s">
        <v>92</v>
      </c>
      <c r="C16" s="39">
        <f t="shared" ref="C16:I16" si="4">C15+C14</f>
        <v>35.800000000000011</v>
      </c>
      <c r="D16" s="39">
        <f t="shared" si="4"/>
        <v>45.59999999999998</v>
      </c>
      <c r="E16" s="39">
        <f t="shared" si="4"/>
        <v>56.746463561643822</v>
      </c>
      <c r="F16" s="39">
        <f t="shared" si="4"/>
        <v>70.988583389589024</v>
      </c>
      <c r="G16" s="39">
        <f t="shared" si="4"/>
        <v>90.860173287725999</v>
      </c>
      <c r="H16" s="39">
        <f t="shared" si="4"/>
        <v>112.94149731603505</v>
      </c>
      <c r="I16" s="39">
        <f t="shared" si="4"/>
        <v>136.82194968779606</v>
      </c>
      <c r="K16" s="26" t="s">
        <v>250</v>
      </c>
      <c r="L16" s="26" t="s">
        <v>251</v>
      </c>
    </row>
    <row r="17" spans="1:12" ht="30" customHeight="1" x14ac:dyDescent="0.2">
      <c r="A17" s="40" t="s">
        <v>252</v>
      </c>
      <c r="B17" s="43" t="s">
        <v>92</v>
      </c>
      <c r="C17" s="41">
        <f>ROUND(C16-SP!C9,6)</f>
        <v>0</v>
      </c>
      <c r="D17" s="41">
        <f>ROUND(D16-SP!D9,6)</f>
        <v>0</v>
      </c>
      <c r="E17" s="41">
        <f>ROUND(E16-SP!E9,6)</f>
        <v>0</v>
      </c>
      <c r="F17" s="41">
        <f>ROUND(F16-SP!F9,6)</f>
        <v>0</v>
      </c>
      <c r="G17" s="41">
        <f>ROUND(G16-SP!G9,6)</f>
        <v>0</v>
      </c>
      <c r="H17" s="41">
        <f>ROUND(H16-SP!H9,6)</f>
        <v>0</v>
      </c>
      <c r="I17" s="41">
        <f>ROUND(I16-SP!I9,6)</f>
        <v>0</v>
      </c>
      <c r="K17" s="26" t="s">
        <v>253</v>
      </c>
      <c r="L17" s="26" t="s">
        <v>254</v>
      </c>
    </row>
  </sheetData>
  <mergeCells count="2">
    <mergeCell ref="B3:D3"/>
    <mergeCell ref="E3:I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7"/>
  <sheetViews>
    <sheetView showGridLines="0" zoomScale="136" zoomScaleNormal="100" workbookViewId="0">
      <pane ySplit="4" topLeftCell="A5" activePane="bottomLeft" state="frozen"/>
      <selection pane="bottomLeft" activeCell="B29" sqref="B29"/>
    </sheetView>
  </sheetViews>
  <sheetFormatPr baseColWidth="10" defaultColWidth="8.6640625" defaultRowHeight="15" x14ac:dyDescent="0.2"/>
  <cols>
    <col min="1" max="1" width="44" customWidth="1"/>
    <col min="2" max="2" width="12" customWidth="1"/>
    <col min="3" max="3" width="2" customWidth="1"/>
    <col min="4" max="4" width="50" customWidth="1"/>
    <col min="5" max="5" width="92" customWidth="1"/>
  </cols>
  <sheetData>
    <row r="1" spans="1:5" ht="18" x14ac:dyDescent="0.2">
      <c r="A1" s="19" t="s">
        <v>255</v>
      </c>
    </row>
    <row r="2" spans="1:5" x14ac:dyDescent="0.2">
      <c r="A2" s="7" t="s">
        <v>256</v>
      </c>
    </row>
    <row r="4" spans="1:5" x14ac:dyDescent="0.2">
      <c r="A4" s="8" t="s">
        <v>257</v>
      </c>
      <c r="B4" s="21" t="s">
        <v>125</v>
      </c>
      <c r="C4" s="9"/>
      <c r="D4" s="8" t="s">
        <v>88</v>
      </c>
      <c r="E4" s="8" t="s">
        <v>258</v>
      </c>
    </row>
    <row r="5" spans="1:5" ht="18" customHeight="1" x14ac:dyDescent="0.2">
      <c r="A5" s="12" t="s">
        <v>259</v>
      </c>
      <c r="B5" s="22"/>
      <c r="C5" s="22"/>
      <c r="D5" s="22"/>
      <c r="E5" s="22"/>
    </row>
    <row r="6" spans="1:5" ht="16.5" customHeight="1" x14ac:dyDescent="0.2">
      <c r="A6" s="14" t="s">
        <v>136</v>
      </c>
      <c r="B6" s="44">
        <f>Ipotesi!B25</f>
        <v>3.5000000000000003E-2</v>
      </c>
      <c r="D6" s="26" t="s">
        <v>260</v>
      </c>
      <c r="E6" s="26" t="s">
        <v>261</v>
      </c>
    </row>
    <row r="7" spans="1:5" ht="16.5" customHeight="1" x14ac:dyDescent="0.2">
      <c r="A7" s="14" t="s">
        <v>138</v>
      </c>
      <c r="B7" s="44">
        <f>Ipotesi!B26</f>
        <v>5.5E-2</v>
      </c>
      <c r="D7" s="26" t="s">
        <v>260</v>
      </c>
      <c r="E7" s="26" t="s">
        <v>262</v>
      </c>
    </row>
    <row r="8" spans="1:5" ht="16.5" customHeight="1" x14ac:dyDescent="0.2">
      <c r="A8" s="14" t="s">
        <v>140</v>
      </c>
      <c r="B8" s="45">
        <f>Ipotesi!B27</f>
        <v>0.9</v>
      </c>
      <c r="D8" s="26" t="s">
        <v>260</v>
      </c>
      <c r="E8" s="26" t="s">
        <v>263</v>
      </c>
    </row>
    <row r="9" spans="1:5" ht="16.5" customHeight="1" x14ac:dyDescent="0.2">
      <c r="A9" s="14" t="s">
        <v>264</v>
      </c>
      <c r="B9" s="44">
        <f>Ipotesi!I10</f>
        <v>0.28000000000000003</v>
      </c>
      <c r="D9" s="26" t="s">
        <v>265</v>
      </c>
      <c r="E9" s="26" t="s">
        <v>266</v>
      </c>
    </row>
    <row r="10" spans="1:5" ht="16.5" customHeight="1" x14ac:dyDescent="0.2">
      <c r="A10" s="14" t="s">
        <v>267</v>
      </c>
      <c r="B10" s="46">
        <f>B20/B21</f>
        <v>0.17647058823529413</v>
      </c>
      <c r="D10" s="26" t="s">
        <v>268</v>
      </c>
      <c r="E10" s="26" t="s">
        <v>269</v>
      </c>
    </row>
    <row r="11" spans="1:5" ht="30" customHeight="1" x14ac:dyDescent="0.2">
      <c r="A11" s="14" t="s">
        <v>270</v>
      </c>
      <c r="B11" s="46">
        <f>B8*(1+(1-B9)*B10)</f>
        <v>1.0143529411764705</v>
      </c>
      <c r="D11" s="26" t="s">
        <v>271</v>
      </c>
      <c r="E11" s="26" t="s">
        <v>272</v>
      </c>
    </row>
    <row r="12" spans="1:5" ht="30" customHeight="1" x14ac:dyDescent="0.2">
      <c r="A12" s="15" t="s">
        <v>273</v>
      </c>
      <c r="B12" s="47">
        <f>B6+B11*B7</f>
        <v>9.0789411764705868E-2</v>
      </c>
      <c r="D12" s="26" t="s">
        <v>274</v>
      </c>
      <c r="E12" s="26" t="s">
        <v>275</v>
      </c>
    </row>
    <row r="14" spans="1:5" ht="18" customHeight="1" x14ac:dyDescent="0.2">
      <c r="A14" s="12" t="s">
        <v>276</v>
      </c>
      <c r="B14" s="22"/>
      <c r="C14" s="22"/>
      <c r="D14" s="22"/>
      <c r="E14" s="22"/>
    </row>
    <row r="15" spans="1:5" x14ac:dyDescent="0.2">
      <c r="A15" s="14" t="s">
        <v>144</v>
      </c>
      <c r="B15" s="44">
        <f>Ipotesi!B29</f>
        <v>4.4999999999999998E-2</v>
      </c>
      <c r="D15" s="26" t="s">
        <v>260</v>
      </c>
      <c r="E15" s="26" t="s">
        <v>277</v>
      </c>
    </row>
    <row r="16" spans="1:5" ht="43.5" customHeight="1" x14ac:dyDescent="0.2">
      <c r="A16" s="15" t="s">
        <v>278</v>
      </c>
      <c r="B16" s="47">
        <f>B15*(1-B9)</f>
        <v>3.2399999999999998E-2</v>
      </c>
      <c r="D16" s="26" t="s">
        <v>279</v>
      </c>
      <c r="E16" s="26" t="s">
        <v>280</v>
      </c>
    </row>
    <row r="18" spans="1:5" ht="18" customHeight="1" x14ac:dyDescent="0.2">
      <c r="A18" s="12" t="s">
        <v>281</v>
      </c>
      <c r="B18" s="22"/>
      <c r="C18" s="22"/>
      <c r="D18" s="22"/>
      <c r="E18" s="22"/>
    </row>
    <row r="19" spans="1:5" x14ac:dyDescent="0.2">
      <c r="A19" s="7" t="s">
        <v>282</v>
      </c>
    </row>
    <row r="20" spans="1:5" ht="16.5" customHeight="1" x14ac:dyDescent="0.2">
      <c r="A20" s="14" t="s">
        <v>283</v>
      </c>
      <c r="B20" s="48">
        <f>Ipotesi!B28</f>
        <v>0.15</v>
      </c>
      <c r="D20" s="26" t="s">
        <v>260</v>
      </c>
      <c r="E20" s="26" t="s">
        <v>284</v>
      </c>
    </row>
    <row r="21" spans="1:5" ht="16.5" customHeight="1" x14ac:dyDescent="0.2">
      <c r="A21" s="14" t="s">
        <v>285</v>
      </c>
      <c r="B21" s="24">
        <f>1-B20</f>
        <v>0.85</v>
      </c>
      <c r="D21" s="26" t="s">
        <v>286</v>
      </c>
      <c r="E21" s="26" t="s">
        <v>287</v>
      </c>
    </row>
    <row r="23" spans="1:5" ht="18" customHeight="1" x14ac:dyDescent="0.2">
      <c r="A23" s="12" t="s">
        <v>26</v>
      </c>
      <c r="B23" s="22"/>
      <c r="C23" s="22"/>
      <c r="D23" s="22"/>
      <c r="E23" s="22"/>
    </row>
    <row r="24" spans="1:5" ht="43.5" customHeight="1" x14ac:dyDescent="0.2">
      <c r="A24" s="15" t="s">
        <v>28</v>
      </c>
      <c r="B24" s="49">
        <f>B21*B12+B20*B16</f>
        <v>8.2030999999999993E-2</v>
      </c>
      <c r="D24" s="26" t="s">
        <v>288</v>
      </c>
      <c r="E24" s="26" t="s">
        <v>289</v>
      </c>
    </row>
    <row r="26" spans="1:5" ht="18" customHeight="1" x14ac:dyDescent="0.2">
      <c r="A26" s="12" t="s">
        <v>290</v>
      </c>
      <c r="B26" s="22"/>
      <c r="C26" s="22"/>
      <c r="D26" s="22"/>
      <c r="E26" s="22"/>
    </row>
    <row r="27" spans="1:5" ht="43.5" customHeight="1" x14ac:dyDescent="0.2">
      <c r="A27" s="14" t="s">
        <v>291</v>
      </c>
      <c r="B27" s="24">
        <f>SP!D20/DCF!B33</f>
        <v>7.1633653584027915E-2</v>
      </c>
      <c r="D27" s="26" t="s">
        <v>292</v>
      </c>
      <c r="E27" s="26" t="s">
        <v>293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50" customWidth="1"/>
    <col min="2" max="9" width="11" customWidth="1"/>
    <col min="10" max="10" width="2" customWidth="1"/>
    <col min="11" max="11" width="52" customWidth="1"/>
    <col min="12" max="12" width="88" customWidth="1"/>
  </cols>
  <sheetData>
    <row r="1" spans="1:12" ht="18" x14ac:dyDescent="0.2">
      <c r="A1" s="19" t="s">
        <v>294</v>
      </c>
    </row>
    <row r="2" spans="1:12" x14ac:dyDescent="0.2">
      <c r="A2" s="7" t="s">
        <v>295</v>
      </c>
    </row>
    <row r="3" spans="1:12" x14ac:dyDescent="0.2">
      <c r="B3" s="2" t="s">
        <v>77</v>
      </c>
      <c r="C3" s="2"/>
      <c r="D3" s="2"/>
      <c r="E3" s="1" t="s">
        <v>78</v>
      </c>
      <c r="F3" s="1"/>
      <c r="G3" s="1"/>
      <c r="H3" s="1"/>
      <c r="I3" s="1"/>
    </row>
    <row r="4" spans="1:12" x14ac:dyDescent="0.2">
      <c r="A4" s="8" t="s">
        <v>79</v>
      </c>
      <c r="B4" s="20" t="s">
        <v>80</v>
      </c>
      <c r="C4" s="20" t="s">
        <v>81</v>
      </c>
      <c r="D4" s="20" t="s">
        <v>82</v>
      </c>
      <c r="E4" s="21" t="s">
        <v>83</v>
      </c>
      <c r="F4" s="21" t="s">
        <v>84</v>
      </c>
      <c r="G4" s="21" t="s">
        <v>85</v>
      </c>
      <c r="H4" s="21" t="s">
        <v>86</v>
      </c>
      <c r="I4" s="21" t="s">
        <v>87</v>
      </c>
      <c r="K4" s="8" t="s">
        <v>88</v>
      </c>
      <c r="L4" s="8" t="s">
        <v>89</v>
      </c>
    </row>
    <row r="5" spans="1:12" ht="18" customHeight="1" x14ac:dyDescent="0.2">
      <c r="A5" s="12" t="s">
        <v>296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30" customHeight="1" x14ac:dyDescent="0.2">
      <c r="A6" s="14" t="s">
        <v>297</v>
      </c>
      <c r="B6" s="30" t="s">
        <v>92</v>
      </c>
      <c r="C6" s="31">
        <f>CE!C9</f>
        <v>62.5</v>
      </c>
      <c r="D6" s="31">
        <f>CE!D9</f>
        <v>69</v>
      </c>
      <c r="E6" s="31">
        <f>CE!E9</f>
        <v>73.139999999999986</v>
      </c>
      <c r="F6" s="31">
        <f>CE!F9</f>
        <v>79.734790000000004</v>
      </c>
      <c r="G6" s="31">
        <f>CE!G9</f>
        <v>86.422224</v>
      </c>
      <c r="H6" s="31">
        <f>CE!H9</f>
        <v>89.879112959999986</v>
      </c>
      <c r="I6" s="31">
        <f>CE!I9</f>
        <v>92.575486348799998</v>
      </c>
      <c r="K6" s="26" t="s">
        <v>221</v>
      </c>
      <c r="L6" s="26" t="s">
        <v>298</v>
      </c>
    </row>
    <row r="7" spans="1:12" ht="43.5" customHeight="1" x14ac:dyDescent="0.2">
      <c r="A7" s="14" t="s">
        <v>299</v>
      </c>
      <c r="B7" s="30" t="s">
        <v>92</v>
      </c>
      <c r="C7" s="37">
        <f>-C6*Ipotesi!C10</f>
        <v>-17.446996466431095</v>
      </c>
      <c r="D7" s="37">
        <f>-D6*Ipotesi!D10</f>
        <v>-19.311320754716981</v>
      </c>
      <c r="E7" s="37">
        <f>-E6*Ipotesi!E10</f>
        <v>-20.479199999999999</v>
      </c>
      <c r="F7" s="37">
        <f>-F6*Ipotesi!F10</f>
        <v>-22.325741200000003</v>
      </c>
      <c r="G7" s="37">
        <f>-G6*Ipotesi!G10</f>
        <v>-24.198222720000004</v>
      </c>
      <c r="H7" s="37">
        <f>-H6*Ipotesi!H10</f>
        <v>-25.166151628799998</v>
      </c>
      <c r="I7" s="37">
        <f>-I6*Ipotesi!I10</f>
        <v>-25.921136177664003</v>
      </c>
      <c r="K7" s="26" t="s">
        <v>300</v>
      </c>
      <c r="L7" s="26" t="s">
        <v>301</v>
      </c>
    </row>
    <row r="8" spans="1:12" ht="30" customHeight="1" x14ac:dyDescent="0.2">
      <c r="A8" s="38" t="s">
        <v>302</v>
      </c>
      <c r="B8" s="42" t="s">
        <v>92</v>
      </c>
      <c r="C8" s="39">
        <f t="shared" ref="C8:I8" si="0">C6+C7</f>
        <v>45.053003533568905</v>
      </c>
      <c r="D8" s="39">
        <f t="shared" si="0"/>
        <v>49.688679245283019</v>
      </c>
      <c r="E8" s="39">
        <f t="shared" si="0"/>
        <v>52.660799999999988</v>
      </c>
      <c r="F8" s="39">
        <f t="shared" si="0"/>
        <v>57.409048800000001</v>
      </c>
      <c r="G8" s="39">
        <f t="shared" si="0"/>
        <v>62.224001279999996</v>
      </c>
      <c r="H8" s="39">
        <f t="shared" si="0"/>
        <v>64.712961331199992</v>
      </c>
      <c r="I8" s="39">
        <f t="shared" si="0"/>
        <v>66.654350171136002</v>
      </c>
      <c r="K8" s="26" t="s">
        <v>303</v>
      </c>
      <c r="L8" s="26" t="s">
        <v>304</v>
      </c>
    </row>
    <row r="9" spans="1:12" ht="16.5" customHeight="1" x14ac:dyDescent="0.2">
      <c r="A9" s="14" t="s">
        <v>223</v>
      </c>
      <c r="B9" s="30" t="s">
        <v>92</v>
      </c>
      <c r="C9" s="31">
        <f>CE!C8</f>
        <v>21.5</v>
      </c>
      <c r="D9" s="31">
        <f>CE!D8</f>
        <v>23</v>
      </c>
      <c r="E9" s="31">
        <f>CE!E8</f>
        <v>24.380000000000003</v>
      </c>
      <c r="F9" s="31">
        <f>CE!F8</f>
        <v>25.7209</v>
      </c>
      <c r="G9" s="31">
        <f>CE!G8</f>
        <v>27.006945000000002</v>
      </c>
      <c r="H9" s="31">
        <f>CE!H8</f>
        <v>28.087222800000003</v>
      </c>
      <c r="I9" s="31">
        <f>CE!I8</f>
        <v>28.929839484000002</v>
      </c>
      <c r="K9" s="26" t="s">
        <v>221</v>
      </c>
      <c r="L9" s="26" t="s">
        <v>305</v>
      </c>
    </row>
    <row r="10" spans="1:12" ht="16.5" customHeight="1" x14ac:dyDescent="0.2">
      <c r="A10" s="14" t="s">
        <v>231</v>
      </c>
      <c r="B10" s="30" t="s">
        <v>92</v>
      </c>
      <c r="C10" s="31">
        <f>RF!C9</f>
        <v>-26.5</v>
      </c>
      <c r="D10" s="31">
        <f>RF!D9</f>
        <v>-29</v>
      </c>
      <c r="E10" s="31">
        <f>RF!E9</f>
        <v>-29.256</v>
      </c>
      <c r="F10" s="31">
        <f>RF!F9</f>
        <v>-30.865079999999999</v>
      </c>
      <c r="G10" s="31">
        <f>RF!G9</f>
        <v>-29.707639500000003</v>
      </c>
      <c r="H10" s="31">
        <f>RF!H9</f>
        <v>-30.895945080000001</v>
      </c>
      <c r="I10" s="31">
        <f>RF!I9</f>
        <v>-31.822823432400003</v>
      </c>
      <c r="K10" s="26" t="s">
        <v>306</v>
      </c>
      <c r="L10" s="26" t="s">
        <v>307</v>
      </c>
    </row>
    <row r="11" spans="1:12" ht="16.5" customHeight="1" x14ac:dyDescent="0.2">
      <c r="A11" s="14" t="s">
        <v>225</v>
      </c>
      <c r="B11" s="30" t="s">
        <v>92</v>
      </c>
      <c r="C11" s="31">
        <f>RF!C7</f>
        <v>-4</v>
      </c>
      <c r="D11" s="31">
        <f>RF!D7</f>
        <v>-2</v>
      </c>
      <c r="E11" s="31">
        <f>RF!E7</f>
        <v>-3.4356164383561776</v>
      </c>
      <c r="F11" s="31">
        <f>RF!F7</f>
        <v>-3.1151294520547879</v>
      </c>
      <c r="G11" s="31">
        <f>RF!G7</f>
        <v>-3.0125163698630217</v>
      </c>
      <c r="H11" s="31">
        <f>RF!H7</f>
        <v>-2.382530490410943</v>
      </c>
      <c r="I11" s="31">
        <f>RF!I7</f>
        <v>-1.8583737825205731</v>
      </c>
      <c r="K11" s="26" t="s">
        <v>306</v>
      </c>
      <c r="L11" s="26" t="s">
        <v>308</v>
      </c>
    </row>
    <row r="12" spans="1:12" ht="30" customHeight="1" x14ac:dyDescent="0.2">
      <c r="A12" s="38" t="s">
        <v>309</v>
      </c>
      <c r="B12" s="42" t="s">
        <v>92</v>
      </c>
      <c r="C12" s="39">
        <f t="shared" ref="C12:I12" si="1">SUM(C8:C11)</f>
        <v>36.053003533568898</v>
      </c>
      <c r="D12" s="39">
        <f t="shared" si="1"/>
        <v>41.688679245283026</v>
      </c>
      <c r="E12" s="39">
        <f t="shared" si="1"/>
        <v>44.349183561643812</v>
      </c>
      <c r="F12" s="39">
        <f t="shared" si="1"/>
        <v>49.149739347945207</v>
      </c>
      <c r="G12" s="39">
        <f t="shared" si="1"/>
        <v>56.510790410136977</v>
      </c>
      <c r="H12" s="39">
        <f t="shared" si="1"/>
        <v>59.521708560789051</v>
      </c>
      <c r="I12" s="39">
        <f t="shared" si="1"/>
        <v>61.902992440215428</v>
      </c>
      <c r="K12" s="26" t="s">
        <v>310</v>
      </c>
      <c r="L12" s="26" t="s">
        <v>311</v>
      </c>
    </row>
    <row r="13" spans="1:12" ht="43.5" customHeight="1" x14ac:dyDescent="0.2">
      <c r="A13" s="40" t="s">
        <v>312</v>
      </c>
      <c r="B13" s="43" t="s">
        <v>92</v>
      </c>
      <c r="C13" s="41">
        <f>ROUND(RF!C8+CE!C10*(1-Ipotesi!C10)+RF!C9-C12,6)</f>
        <v>0</v>
      </c>
      <c r="D13" s="41">
        <f>ROUND(RF!D8+CE!D10*(1-Ipotesi!D10)+RF!D9-D12,6)</f>
        <v>0</v>
      </c>
      <c r="E13" s="41">
        <f>ROUND(RF!E8+CE!E10*(1-Ipotesi!E10)+RF!E9-E12,6)</f>
        <v>0</v>
      </c>
      <c r="F13" s="41">
        <f>ROUND(RF!F8+CE!F10*(1-Ipotesi!F10)+RF!F9-F12,6)</f>
        <v>0</v>
      </c>
      <c r="G13" s="41">
        <f>ROUND(RF!G8+CE!G10*(1-Ipotesi!G10)+RF!G9-G12,6)</f>
        <v>0</v>
      </c>
      <c r="H13" s="41">
        <f>ROUND(RF!H8+CE!H10*(1-Ipotesi!H10)+RF!H9-H12,6)</f>
        <v>0</v>
      </c>
      <c r="I13" s="41">
        <f>ROUND(RF!I8+CE!I10*(1-Ipotesi!I10)+RF!I9-I12,6)</f>
        <v>0</v>
      </c>
      <c r="K13" s="26" t="s">
        <v>313</v>
      </c>
      <c r="L13" s="26" t="s">
        <v>314</v>
      </c>
    </row>
    <row r="15" spans="1:12" ht="18" customHeight="1" x14ac:dyDescent="0.2">
      <c r="A15" s="12" t="s">
        <v>315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16.5" customHeight="1" x14ac:dyDescent="0.2">
      <c r="A16" s="14" t="s">
        <v>316</v>
      </c>
      <c r="E16" s="29">
        <v>1</v>
      </c>
      <c r="F16" s="28">
        <f>E16+1</f>
        <v>2</v>
      </c>
      <c r="G16" s="28">
        <f>F16+1</f>
        <v>3</v>
      </c>
      <c r="H16" s="28">
        <f>G16+1</f>
        <v>4</v>
      </c>
      <c r="I16" s="28">
        <f>H16+1</f>
        <v>5</v>
      </c>
      <c r="K16" s="26" t="s">
        <v>317</v>
      </c>
      <c r="L16" s="26" t="s">
        <v>318</v>
      </c>
    </row>
    <row r="17" spans="1:12" ht="16.5" customHeight="1" x14ac:dyDescent="0.2">
      <c r="A17" s="14" t="s">
        <v>28</v>
      </c>
      <c r="E17" s="44">
        <f>WACC!$B$24</f>
        <v>8.2030999999999993E-2</v>
      </c>
      <c r="F17" s="44">
        <f>WACC!$B$24</f>
        <v>8.2030999999999993E-2</v>
      </c>
      <c r="G17" s="44">
        <f>WACC!$B$24</f>
        <v>8.2030999999999993E-2</v>
      </c>
      <c r="H17" s="44">
        <f>WACC!$B$24</f>
        <v>8.2030999999999993E-2</v>
      </c>
      <c r="I17" s="44">
        <f>WACC!$B$24</f>
        <v>8.2030999999999993E-2</v>
      </c>
      <c r="K17" s="26" t="s">
        <v>319</v>
      </c>
      <c r="L17" s="26" t="s">
        <v>320</v>
      </c>
    </row>
    <row r="18" spans="1:12" ht="30" customHeight="1" x14ac:dyDescent="0.2">
      <c r="A18" s="14" t="s">
        <v>321</v>
      </c>
      <c r="E18" s="50">
        <f>1/(1+E17)^E16</f>
        <v>0.92418793916255637</v>
      </c>
      <c r="F18" s="50">
        <f>1/(1+F17)^F16</f>
        <v>0.85412334689353298</v>
      </c>
      <c r="G18" s="50">
        <f>1/(1+G17)^G16</f>
        <v>0.78937049575615958</v>
      </c>
      <c r="H18" s="50">
        <f>1/(1+H17)^H16</f>
        <v>0.72952669170861051</v>
      </c>
      <c r="I18" s="50">
        <f>1/(1+I17)^I16</f>
        <v>0.67421976977425835</v>
      </c>
      <c r="K18" s="26" t="s">
        <v>322</v>
      </c>
      <c r="L18" s="26" t="s">
        <v>323</v>
      </c>
    </row>
    <row r="19" spans="1:12" ht="16.5" customHeight="1" x14ac:dyDescent="0.2">
      <c r="A19" s="38" t="s">
        <v>324</v>
      </c>
      <c r="B19" s="51"/>
      <c r="C19" s="51"/>
      <c r="D19" s="51"/>
      <c r="E19" s="39">
        <f>E12*E18</f>
        <v>40.986980559377514</v>
      </c>
      <c r="F19" s="39">
        <f>F12*F18</f>
        <v>41.979939870811734</v>
      </c>
      <c r="G19" s="39">
        <f>G12*G18</f>
        <v>44.607950641622253</v>
      </c>
      <c r="H19" s="39">
        <f>H12*H18</f>
        <v>43.42267513119652</v>
      </c>
      <c r="I19" s="39">
        <f>I12*I18</f>
        <v>41.736221311379701</v>
      </c>
      <c r="K19" s="26" t="s">
        <v>325</v>
      </c>
      <c r="L19" s="26" t="s">
        <v>326</v>
      </c>
    </row>
    <row r="21" spans="1:12" ht="18" customHeight="1" x14ac:dyDescent="0.2">
      <c r="A21" s="12" t="s">
        <v>327</v>
      </c>
      <c r="B21" s="33" t="s">
        <v>125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16.5" customHeight="1" x14ac:dyDescent="0.2">
      <c r="A22" s="14" t="s">
        <v>129</v>
      </c>
      <c r="B22" s="44">
        <f>Ipotesi!B20</f>
        <v>0.02</v>
      </c>
      <c r="K22" s="26" t="s">
        <v>260</v>
      </c>
      <c r="L22" s="26" t="s">
        <v>328</v>
      </c>
    </row>
    <row r="23" spans="1:12" ht="16.5" customHeight="1" x14ac:dyDescent="0.2">
      <c r="A23" s="14" t="s">
        <v>28</v>
      </c>
      <c r="B23" s="44">
        <f>WACC!B24</f>
        <v>8.2030999999999993E-2</v>
      </c>
      <c r="K23" s="26" t="s">
        <v>319</v>
      </c>
      <c r="L23" s="26"/>
    </row>
    <row r="24" spans="1:12" ht="30" customHeight="1" x14ac:dyDescent="0.2">
      <c r="A24" s="14" t="s">
        <v>329</v>
      </c>
      <c r="B24" s="37">
        <f>I12</f>
        <v>61.902992440215428</v>
      </c>
      <c r="K24" s="26" t="s">
        <v>330</v>
      </c>
      <c r="L24" s="26" t="s">
        <v>331</v>
      </c>
    </row>
    <row r="25" spans="1:12" ht="30" customHeight="1" x14ac:dyDescent="0.2">
      <c r="A25" s="14" t="s">
        <v>332</v>
      </c>
      <c r="B25" s="37">
        <f>B24*(1+B22)</f>
        <v>63.14105228901974</v>
      </c>
      <c r="K25" s="26" t="s">
        <v>333</v>
      </c>
      <c r="L25" s="26" t="s">
        <v>334</v>
      </c>
    </row>
    <row r="26" spans="1:12" ht="43.5" customHeight="1" x14ac:dyDescent="0.2">
      <c r="A26" s="15" t="s">
        <v>335</v>
      </c>
      <c r="B26" s="52">
        <f>B25/(B23-B22)</f>
        <v>1017.8951216169295</v>
      </c>
      <c r="K26" s="26" t="s">
        <v>336</v>
      </c>
      <c r="L26" s="26" t="s">
        <v>337</v>
      </c>
    </row>
    <row r="27" spans="1:12" ht="30" customHeight="1" x14ac:dyDescent="0.2">
      <c r="A27" s="14" t="s">
        <v>338</v>
      </c>
      <c r="B27" s="50">
        <f>I18</f>
        <v>0.67421976977425835</v>
      </c>
      <c r="K27" s="26" t="s">
        <v>339</v>
      </c>
      <c r="L27" s="26" t="s">
        <v>340</v>
      </c>
    </row>
    <row r="28" spans="1:12" ht="16.5" customHeight="1" x14ac:dyDescent="0.2">
      <c r="A28" s="15" t="s">
        <v>341</v>
      </c>
      <c r="B28" s="52">
        <f>B26*B27</f>
        <v>686.28501455090691</v>
      </c>
      <c r="K28" s="26" t="s">
        <v>342</v>
      </c>
      <c r="L28" s="26"/>
    </row>
    <row r="30" spans="1:12" ht="18" customHeight="1" x14ac:dyDescent="0.2">
      <c r="A30" s="12" t="s">
        <v>343</v>
      </c>
      <c r="B30" s="33" t="s">
        <v>125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6.5" customHeight="1" x14ac:dyDescent="0.2">
      <c r="A31" s="14" t="s">
        <v>344</v>
      </c>
      <c r="B31" s="37">
        <f>SUM(E19:I19)</f>
        <v>212.73376751438772</v>
      </c>
      <c r="K31" s="26" t="s">
        <v>345</v>
      </c>
      <c r="L31" s="26" t="s">
        <v>346</v>
      </c>
    </row>
    <row r="32" spans="1:12" ht="16.5" customHeight="1" x14ac:dyDescent="0.2">
      <c r="A32" s="14" t="s">
        <v>347</v>
      </c>
      <c r="B32" s="37">
        <f>B28</f>
        <v>686.28501455090691</v>
      </c>
      <c r="K32" s="26" t="s">
        <v>348</v>
      </c>
      <c r="L32" s="26" t="s">
        <v>349</v>
      </c>
    </row>
    <row r="33" spans="1:12" ht="30" customHeight="1" x14ac:dyDescent="0.2">
      <c r="A33" s="15" t="s">
        <v>350</v>
      </c>
      <c r="B33" s="53">
        <f>B31+B32</f>
        <v>899.01878206529466</v>
      </c>
      <c r="K33" s="26" t="s">
        <v>351</v>
      </c>
      <c r="L33" s="26" t="s">
        <v>352</v>
      </c>
    </row>
    <row r="34" spans="1:12" ht="30" customHeight="1" x14ac:dyDescent="0.2">
      <c r="A34" s="14" t="s">
        <v>353</v>
      </c>
      <c r="B34" s="31">
        <f>-SP!D20</f>
        <v>-64.400000000000006</v>
      </c>
      <c r="K34" s="26" t="s">
        <v>354</v>
      </c>
      <c r="L34" s="26" t="s">
        <v>355</v>
      </c>
    </row>
    <row r="35" spans="1:12" ht="16.5" customHeight="1" x14ac:dyDescent="0.2">
      <c r="A35" s="15" t="s">
        <v>356</v>
      </c>
      <c r="B35" s="53">
        <f>B33+B34</f>
        <v>834.61878206529468</v>
      </c>
      <c r="K35" s="26" t="s">
        <v>357</v>
      </c>
      <c r="L35" s="26" t="s">
        <v>358</v>
      </c>
    </row>
    <row r="36" spans="1:12" ht="16.5" customHeight="1" x14ac:dyDescent="0.2">
      <c r="A36" s="14" t="s">
        <v>131</v>
      </c>
      <c r="B36" s="31">
        <f>Ipotesi!B21</f>
        <v>50</v>
      </c>
      <c r="K36" s="26" t="s">
        <v>260</v>
      </c>
      <c r="L36" s="26"/>
    </row>
    <row r="37" spans="1:12" ht="16.5" customHeight="1" x14ac:dyDescent="0.2">
      <c r="A37" s="15" t="s">
        <v>359</v>
      </c>
      <c r="B37" s="54">
        <f>B35/B36</f>
        <v>16.692375641305894</v>
      </c>
      <c r="K37" s="26" t="s">
        <v>360</v>
      </c>
      <c r="L37" s="26" t="s">
        <v>361</v>
      </c>
    </row>
    <row r="38" spans="1:12" ht="16.5" customHeight="1" x14ac:dyDescent="0.2">
      <c r="A38" s="14" t="s">
        <v>362</v>
      </c>
      <c r="B38" s="55">
        <f>Ipotesi!B22</f>
        <v>14.5</v>
      </c>
      <c r="K38" s="26" t="s">
        <v>260</v>
      </c>
      <c r="L38" s="26"/>
    </row>
    <row r="39" spans="1:12" ht="30" customHeight="1" x14ac:dyDescent="0.2">
      <c r="A39" s="15" t="s">
        <v>363</v>
      </c>
      <c r="B39" s="56">
        <f>B37/B38-1</f>
        <v>0.15119832009006173</v>
      </c>
      <c r="K39" s="26" t="s">
        <v>364</v>
      </c>
      <c r="L39" s="26" t="s">
        <v>365</v>
      </c>
    </row>
    <row r="41" spans="1:12" ht="18" customHeight="1" x14ac:dyDescent="0.2">
      <c r="A41" s="12" t="s">
        <v>366</v>
      </c>
      <c r="B41" s="33" t="s">
        <v>125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ht="30" customHeight="1" x14ac:dyDescent="0.2">
      <c r="A42" s="14" t="s">
        <v>367</v>
      </c>
      <c r="B42" s="24">
        <f>B32/B33</f>
        <v>0.76337116447591957</v>
      </c>
      <c r="K42" s="26" t="s">
        <v>368</v>
      </c>
      <c r="L42" s="26" t="s">
        <v>369</v>
      </c>
    </row>
    <row r="43" spans="1:12" ht="16.5" customHeight="1" x14ac:dyDescent="0.2">
      <c r="A43" s="14" t="s">
        <v>370</v>
      </c>
      <c r="B43" s="57">
        <f>B33/CE!D7</f>
        <v>9.7719432833184197</v>
      </c>
      <c r="K43" s="26" t="s">
        <v>371</v>
      </c>
      <c r="L43" s="26" t="s">
        <v>372</v>
      </c>
    </row>
    <row r="44" spans="1:12" ht="16.5" customHeight="1" x14ac:dyDescent="0.2">
      <c r="A44" s="14" t="s">
        <v>373</v>
      </c>
      <c r="B44" s="57">
        <f>B33/CE!E7</f>
        <v>9.2188144182249268</v>
      </c>
      <c r="K44" s="26" t="s">
        <v>374</v>
      </c>
      <c r="L44" s="26"/>
    </row>
    <row r="45" spans="1:12" ht="30" customHeight="1" x14ac:dyDescent="0.2">
      <c r="A45" s="14" t="s">
        <v>375</v>
      </c>
      <c r="B45" s="57">
        <f>B26/CE!I7</f>
        <v>8.3773704126980064</v>
      </c>
      <c r="K45" s="26" t="s">
        <v>376</v>
      </c>
      <c r="L45" s="26" t="s">
        <v>377</v>
      </c>
    </row>
    <row r="46" spans="1:12" ht="16.5" customHeight="1" x14ac:dyDescent="0.2">
      <c r="A46" s="14" t="s">
        <v>378</v>
      </c>
      <c r="B46" s="57">
        <f>B35/CE!D13</f>
        <v>18.223117512342679</v>
      </c>
      <c r="K46" s="26" t="s">
        <v>379</v>
      </c>
      <c r="L46" s="26"/>
    </row>
  </sheetData>
  <mergeCells count="2">
    <mergeCell ref="B3:D3"/>
    <mergeCell ref="E3:I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6"/>
  <sheetViews>
    <sheetView showGridLines="0" zoomScale="156" zoomScaleNormal="100" workbookViewId="0">
      <selection activeCell="G20" sqref="G20"/>
    </sheetView>
  </sheetViews>
  <sheetFormatPr baseColWidth="10" defaultColWidth="8.6640625" defaultRowHeight="15" x14ac:dyDescent="0.2"/>
  <cols>
    <col min="1" max="1" width="24" customWidth="1"/>
    <col min="2" max="6" width="12" customWidth="1"/>
    <col min="7" max="7" width="2" customWidth="1"/>
    <col min="8" max="8" width="95" customWidth="1"/>
  </cols>
  <sheetData>
    <row r="1" spans="1:8" ht="18" x14ac:dyDescent="0.2">
      <c r="A1" s="19" t="s">
        <v>380</v>
      </c>
    </row>
    <row r="2" spans="1:8" x14ac:dyDescent="0.2">
      <c r="A2" s="7" t="s">
        <v>381</v>
      </c>
    </row>
    <row r="4" spans="1:8" x14ac:dyDescent="0.2">
      <c r="A4" s="15" t="s">
        <v>382</v>
      </c>
      <c r="B4" s="58">
        <v>5.0000000000000001E-3</v>
      </c>
      <c r="C4" s="59" t="s">
        <v>383</v>
      </c>
      <c r="D4" s="58">
        <v>5.0000000000000001E-3</v>
      </c>
    </row>
    <row r="6" spans="1:8" x14ac:dyDescent="0.2">
      <c r="B6" s="1" t="s">
        <v>129</v>
      </c>
      <c r="C6" s="1"/>
      <c r="D6" s="1"/>
      <c r="E6" s="1"/>
      <c r="F6" s="1"/>
      <c r="H6" s="8" t="s">
        <v>258</v>
      </c>
    </row>
    <row r="7" spans="1:8" ht="30" customHeight="1" x14ac:dyDescent="0.2">
      <c r="A7" s="8" t="s">
        <v>384</v>
      </c>
      <c r="B7" s="60">
        <f>DCF!$B$22+(0-2)*$D$4</f>
        <v>0.01</v>
      </c>
      <c r="C7" s="60">
        <f>DCF!$B$22+(1-2)*$D$4</f>
        <v>1.4999999999999999E-2</v>
      </c>
      <c r="D7" s="60">
        <f>DCF!$B$22+(2-2)*$D$4</f>
        <v>0.02</v>
      </c>
      <c r="E7" s="60">
        <f>DCF!$B$22+(3-2)*$D$4</f>
        <v>2.5000000000000001E-2</v>
      </c>
      <c r="F7" s="60">
        <f>DCF!$B$22+(4-2)*$D$4</f>
        <v>0.03</v>
      </c>
      <c r="H7" s="26" t="s">
        <v>385</v>
      </c>
    </row>
    <row r="8" spans="1:8" ht="43.5" customHeight="1" x14ac:dyDescent="0.2">
      <c r="A8" s="60">
        <f>DCF!$B$23+(0-2)*$B$4</f>
        <v>7.2030999999999998E-2</v>
      </c>
      <c r="B8" s="61">
        <f>(SUMPRODUCT(DCF!$E$12:$I$12/(1+$A8)^DCF!$E$16:$I$16)+DCF!$I$12*(1+B$7)/($A8-B$7)/(1+$A8)^DCF!$I$16+DCF!$B$34)/DCF!$B$36</f>
        <v>17.324752104811306</v>
      </c>
      <c r="C8" s="61">
        <f>(SUMPRODUCT(DCF!$E$12:$I$12/(1+$A8)^DCF!$E$16:$I$16)+DCF!$I$12*(1+C$7)/($A8-C$7)/(1+$A8)^DCF!$I$16+DCF!$B$34)/DCF!$B$36</f>
        <v>18.649589256304793</v>
      </c>
      <c r="D8" s="61">
        <f>(SUMPRODUCT(DCF!$E$12:$I$12/(1+$A8)^DCF!$E$16:$I$16)+DCF!$I$12*(1+D$7)/($A8-D$7)/(1+$A8)^DCF!$I$16+DCF!$B$34)/DCF!$B$36</f>
        <v>20.22905098766288</v>
      </c>
      <c r="E8" s="61">
        <f>(SUMPRODUCT(DCF!$E$12:$I$12/(1+$A8)^DCF!$E$16:$I$16)+DCF!$I$12*(1+E$7)/($A8-E$7)/(1+$A8)^DCF!$I$16+DCF!$B$34)/DCF!$B$36</f>
        <v>22.14434689889341</v>
      </c>
      <c r="F8" s="61">
        <f>(SUMPRODUCT(DCF!$E$12:$I$12/(1+$A8)^DCF!$E$16:$I$16)+DCF!$I$12*(1+F$7)/($A8-F$7)/(1+$A8)^DCF!$I$16+DCF!$B$34)/DCF!$B$36</f>
        <v>24.515329306098465</v>
      </c>
      <c r="H8" s="26" t="s">
        <v>386</v>
      </c>
    </row>
    <row r="9" spans="1:8" ht="30" customHeight="1" x14ac:dyDescent="0.2">
      <c r="A9" s="60">
        <f>DCF!$B$23+(1-2)*$B$4</f>
        <v>7.7030999999999988E-2</v>
      </c>
      <c r="B9" s="61">
        <f>(SUMPRODUCT(DCF!$E$12:$I$12/(1+$A9)^DCF!$E$16:$I$16)+DCF!$I$12*(1+B$7)/($A9-B$7)/(1+$A9)^DCF!$I$16+DCF!$B$34)/DCF!$B$36</f>
        <v>15.898581154072666</v>
      </c>
      <c r="C9" s="61">
        <f>(SUMPRODUCT(DCF!$E$12:$I$12/(1+$A9)^DCF!$E$16:$I$16)+DCF!$I$12*(1+C$7)/($A9-C$7)/(1+$A9)^DCF!$I$16+DCF!$B$34)/DCF!$B$36</f>
        <v>17.004986709948984</v>
      </c>
      <c r="D9" s="61">
        <f>(SUMPRODUCT(DCF!$E$12:$I$12/(1+$A9)^DCF!$E$16:$I$16)+DCF!$I$12*(1+D$7)/($A9-D$7)/(1+$A9)^DCF!$I$16+DCF!$B$34)/DCF!$B$36</f>
        <v>18.305392994530099</v>
      </c>
      <c r="E9" s="61">
        <f>(SUMPRODUCT(DCF!$E$12:$I$12/(1+$A9)^DCF!$E$16:$I$16)+DCF!$I$12*(1+E$7)/($A9-E$7)/(1+$A9)^DCF!$I$16+DCF!$B$34)/DCF!$B$36</f>
        <v>19.855728414546068</v>
      </c>
      <c r="F9" s="61">
        <f>(SUMPRODUCT(DCF!$E$12:$I$12/(1+$A9)^DCF!$E$16:$I$16)+DCF!$I$12*(1+F$7)/($A9-F$7)/(1+$A9)^DCF!$I$16+DCF!$B$34)/DCF!$B$36</f>
        <v>21.735705011661388</v>
      </c>
      <c r="H9" s="26" t="s">
        <v>387</v>
      </c>
    </row>
    <row r="10" spans="1:8" ht="30" customHeight="1" x14ac:dyDescent="0.2">
      <c r="A10" s="60">
        <f>DCF!$B$23+(2-2)*$B$4</f>
        <v>8.2030999999999993E-2</v>
      </c>
      <c r="B10" s="61">
        <f>(SUMPRODUCT(DCF!$E$12:$I$12/(1+$A10)^DCF!$E$16:$I$16)+DCF!$I$12*(1+B$7)/($A10-B$7)/(1+$A10)^DCF!$I$16+DCF!$B$34)/DCF!$B$36</f>
        <v>14.670964760262212</v>
      </c>
      <c r="C10" s="61">
        <f>(SUMPRODUCT(DCF!$E$12:$I$12/(1+$A10)^DCF!$E$16:$I$16)+DCF!$I$12*(1+C$7)/($A10-C$7)/(1+$A10)^DCF!$I$16+DCF!$B$34)/DCF!$B$36</f>
        <v>15.606279303995858</v>
      </c>
      <c r="D10" s="62">
        <f>(SUMPRODUCT(DCF!$E$12:$I$12/(1+$A10)^DCF!$E$16:$I$16)+DCF!$I$12*(1+D$7)/($A10-D$7)/(1+$A10)^DCF!$I$16+DCF!$B$34)/DCF!$B$36</f>
        <v>16.692375641305894</v>
      </c>
      <c r="E10" s="61">
        <f>(SUMPRODUCT(DCF!$E$12:$I$12/(1+$A10)^DCF!$E$16:$I$16)+DCF!$I$12*(1+E$7)/($A10-E$7)/(1+$A10)^DCF!$I$16+DCF!$B$34)/DCF!$B$36</f>
        <v>17.96891162324955</v>
      </c>
      <c r="F10" s="61">
        <f>(SUMPRODUCT(DCF!$E$12:$I$12/(1+$A10)^DCF!$E$16:$I$16)+DCF!$I$12*(1+F$7)/($A10-F$7)/(1+$A10)^DCF!$I$16+DCF!$B$34)/DCF!$B$36</f>
        <v>19.49078903279284</v>
      </c>
      <c r="H10" s="26" t="s">
        <v>388</v>
      </c>
    </row>
    <row r="11" spans="1:8" ht="30" customHeight="1" x14ac:dyDescent="0.2">
      <c r="A11" s="60">
        <f>DCF!$B$23+(3-2)*$B$4</f>
        <v>8.7030999999999997E-2</v>
      </c>
      <c r="B11" s="61">
        <f>(SUMPRODUCT(DCF!$E$12:$I$12/(1+$A11)^DCF!$E$16:$I$16)+DCF!$I$12*(1+B$7)/($A11-B$7)/(1+$A11)^DCF!$I$16+DCF!$B$34)/DCF!$B$36</f>
        <v>13.603227674519399</v>
      </c>
      <c r="C11" s="61">
        <f>(SUMPRODUCT(DCF!$E$12:$I$12/(1+$A11)^DCF!$E$16:$I$16)+DCF!$I$12*(1+C$7)/($A11-C$7)/(1+$A11)^DCF!$I$16+DCF!$B$34)/DCF!$B$36</f>
        <v>14.402250058300234</v>
      </c>
      <c r="D11" s="61">
        <f>(SUMPRODUCT(DCF!$E$12:$I$12/(1+$A11)^DCF!$E$16:$I$16)+DCF!$I$12*(1+D$7)/($A11-D$7)/(1+$A11)^DCF!$I$16+DCF!$B$34)/DCF!$B$36</f>
        <v>15.320474361160432</v>
      </c>
      <c r="E11" s="61">
        <f>(SUMPRODUCT(DCF!$E$12:$I$12/(1+$A11)^DCF!$E$16:$I$16)+DCF!$I$12*(1+E$7)/($A11-E$7)/(1+$A11)^DCF!$I$16+DCF!$B$34)/DCF!$B$36</f>
        <v>16.386725344689999</v>
      </c>
      <c r="F11" s="61">
        <f>(SUMPRODUCT(DCF!$E$12:$I$12/(1+$A11)^DCF!$E$16:$I$16)+DCF!$I$12*(1+F$7)/($A11-F$7)/(1+$A11)^DCF!$I$16+DCF!$B$34)/DCF!$B$36</f>
        <v>17.639936224333884</v>
      </c>
      <c r="H11" s="26" t="s">
        <v>389</v>
      </c>
    </row>
    <row r="12" spans="1:8" ht="30" customHeight="1" x14ac:dyDescent="0.2">
      <c r="A12" s="60">
        <f>DCF!$B$23+(4-2)*$B$4</f>
        <v>9.2030999999999988E-2</v>
      </c>
      <c r="B12" s="61">
        <f>(SUMPRODUCT(DCF!$E$12:$I$12/(1+$A12)^DCF!$E$16:$I$16)+DCF!$I$12*(1+B$7)/($A12-B$7)/(1+$A12)^DCF!$I$16+DCF!$B$34)/DCF!$B$36</f>
        <v>12.666124358739765</v>
      </c>
      <c r="C12" s="61">
        <f>(SUMPRODUCT(DCF!$E$12:$I$12/(1+$A12)^DCF!$E$16:$I$16)+DCF!$I$12*(1+C$7)/($A12-C$7)/(1+$A12)^DCF!$I$16+DCF!$B$34)/DCF!$B$36</f>
        <v>13.354980022838101</v>
      </c>
      <c r="D12" s="61">
        <f>(SUMPRODUCT(DCF!$E$12:$I$12/(1+$A12)^DCF!$E$16:$I$16)+DCF!$I$12*(1+D$7)/($A12-D$7)/(1+$A12)^DCF!$I$16+DCF!$B$34)/DCF!$B$36</f>
        <v>14.139468909312685</v>
      </c>
      <c r="E12" s="61">
        <f>(SUMPRODUCT(DCF!$E$12:$I$12/(1+$A12)^DCF!$E$16:$I$16)+DCF!$I$12*(1+E$7)/($A12-E$7)/(1+$A12)^DCF!$I$16+DCF!$B$34)/DCF!$B$36</f>
        <v>15.040991539349882</v>
      </c>
      <c r="F12" s="61">
        <f>(SUMPRODUCT(DCF!$E$12:$I$12/(1+$A12)^DCF!$E$16:$I$16)+DCF!$I$12*(1+F$7)/($A12-F$7)/(1+$A12)^DCF!$I$16+DCF!$B$34)/DCF!$B$36</f>
        <v>16.087848378095178</v>
      </c>
      <c r="H12" s="26" t="s">
        <v>390</v>
      </c>
    </row>
    <row r="14" spans="1:8" x14ac:dyDescent="0.2">
      <c r="A14" s="40" t="s">
        <v>391</v>
      </c>
      <c r="F14" s="41">
        <f>ROUND(D10-DCF!B37,6)</f>
        <v>0</v>
      </c>
    </row>
    <row r="16" spans="1:8" x14ac:dyDescent="0.2">
      <c r="A16" s="14" t="s">
        <v>362</v>
      </c>
      <c r="B16" s="55">
        <f>Ipotesi!B22</f>
        <v>14.5</v>
      </c>
      <c r="C16" s="7" t="s">
        <v>392</v>
      </c>
    </row>
  </sheetData>
  <mergeCells count="1">
    <mergeCell ref="B6:F6"/>
  </mergeCells>
  <conditionalFormatting sqref="B8:F12">
    <cfRule type="expression" dxfId="0" priority="2">
      <formula>B8&lt;$B$16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Leggimi</vt:lpstr>
      <vt:lpstr>Ipotesi</vt:lpstr>
      <vt:lpstr>CE</vt:lpstr>
      <vt:lpstr>SP</vt:lpstr>
      <vt:lpstr>RF</vt:lpstr>
      <vt:lpstr>WACC</vt:lpstr>
      <vt:lpstr>DCF</vt:lpstr>
      <vt:lpstr>Sensitività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lucacelio2001@gmail.com</cp:lastModifiedBy>
  <cp:revision>0</cp:revision>
  <dcterms:created xsi:type="dcterms:W3CDTF">2026-10-04T14:01:29Z</dcterms:created>
  <dcterms:modified xsi:type="dcterms:W3CDTF">2026-10-04T14:39:42Z</dcterms:modified>
  <dc:language>en-US</dc:language>
</cp:coreProperties>
</file>