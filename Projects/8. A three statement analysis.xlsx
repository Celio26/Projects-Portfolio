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Volumes/EXTERNAL_USB/Projects-Portfolio/6. A 3-statement financial model/"/>
    </mc:Choice>
  </mc:AlternateContent>
  <xr:revisionPtr revIDLastSave="0" documentId="13_ncr:1_{34000B76-080E-A64F-A0FF-2BB681D33569}" xr6:coauthVersionLast="47" xr6:coauthVersionMax="47" xr10:uidLastSave="{00000000-0000-0000-0000-000000000000}"/>
  <bookViews>
    <workbookView xWindow="0" yWindow="0" windowWidth="38400" windowHeight="21600" tabRatio="500" xr2:uid="{00000000-000D-0000-FFFF-FFFF00000000}"/>
  </bookViews>
  <sheets>
    <sheet name="Stato Patrimoniale" sheetId="1" r:id="rId1"/>
    <sheet name="Conto Economico" sheetId="2" r:id="rId2"/>
    <sheet name="Rendiconto Finanziario" sheetId="3" r:id="rId3"/>
  </sheets>
  <definedNames>
    <definedName name="_xlnm.Print_Titles" localSheetId="1">'Conto Economico'!$1:$5</definedName>
    <definedName name="_xlnm.Print_Titles" localSheetId="2">'Rendiconto Finanziario'!$1:$5</definedName>
    <definedName name="_xlnm.Print_Titles" localSheetId="0">'Stato Patrimoniale'!$1:$5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3" i="1" l="1"/>
  <c r="C120" i="1" l="1"/>
  <c r="C71" i="3"/>
  <c r="C33" i="2"/>
  <c r="E8" i="1"/>
  <c r="F8" i="1" s="1"/>
  <c r="D80" i="3"/>
  <c r="W12" i="3" s="1"/>
  <c r="C80" i="3"/>
  <c r="W11" i="3" s="1"/>
  <c r="B80" i="3"/>
  <c r="W10" i="3" s="1"/>
  <c r="D65" i="3"/>
  <c r="C47" i="3"/>
  <c r="C65" i="3" s="1"/>
  <c r="D44" i="3"/>
  <c r="C44" i="3"/>
  <c r="F85" i="3" s="1"/>
  <c r="Y5" i="3" s="1"/>
  <c r="E43" i="3"/>
  <c r="F43" i="3" s="1"/>
  <c r="E42" i="3"/>
  <c r="F42" i="3" s="1"/>
  <c r="E41" i="3"/>
  <c r="F41" i="3" s="1"/>
  <c r="E40" i="3"/>
  <c r="F40" i="3" s="1"/>
  <c r="E39" i="3"/>
  <c r="F39" i="3" s="1"/>
  <c r="E38" i="3"/>
  <c r="F38" i="3" s="1"/>
  <c r="D35" i="3"/>
  <c r="C35" i="3"/>
  <c r="F84" i="3" s="1"/>
  <c r="X5" i="3" s="1"/>
  <c r="E34" i="3"/>
  <c r="F34" i="3" s="1"/>
  <c r="E33" i="3"/>
  <c r="F33" i="3" s="1"/>
  <c r="E32" i="3"/>
  <c r="F32" i="3" s="1"/>
  <c r="E31" i="3"/>
  <c r="F31" i="3" s="1"/>
  <c r="D27" i="3"/>
  <c r="D59" i="3" s="1"/>
  <c r="C27" i="3"/>
  <c r="C59" i="3" s="1"/>
  <c r="E26" i="3"/>
  <c r="F26" i="3" s="1"/>
  <c r="E25" i="3"/>
  <c r="F25" i="3" s="1"/>
  <c r="E24" i="3"/>
  <c r="F24" i="3" s="1"/>
  <c r="E23" i="3"/>
  <c r="F23" i="3" s="1"/>
  <c r="E22" i="3"/>
  <c r="F22" i="3" s="1"/>
  <c r="E21" i="3"/>
  <c r="F21" i="3" s="1"/>
  <c r="E20" i="3"/>
  <c r="F20" i="3" s="1"/>
  <c r="E16" i="3"/>
  <c r="F16" i="3" s="1"/>
  <c r="E15" i="3"/>
  <c r="F15" i="3" s="1"/>
  <c r="E14" i="3"/>
  <c r="F14" i="3" s="1"/>
  <c r="E13" i="3"/>
  <c r="F13" i="3" s="1"/>
  <c r="E12" i="3"/>
  <c r="F12" i="3" s="1"/>
  <c r="E11" i="3"/>
  <c r="F11" i="3" s="1"/>
  <c r="E10" i="3"/>
  <c r="F10" i="3" s="1"/>
  <c r="E9" i="3"/>
  <c r="F9" i="3" s="1"/>
  <c r="E8" i="3"/>
  <c r="F8" i="3" s="1"/>
  <c r="Z15" i="2"/>
  <c r="Y15" i="2"/>
  <c r="X15" i="2"/>
  <c r="W15" i="2"/>
  <c r="Z14" i="2"/>
  <c r="Y14" i="2"/>
  <c r="X14" i="2"/>
  <c r="W14" i="2"/>
  <c r="Z13" i="2"/>
  <c r="Y13" i="2"/>
  <c r="X13" i="2"/>
  <c r="W13" i="2"/>
  <c r="Z6" i="2"/>
  <c r="W6" i="2"/>
  <c r="Z5" i="2"/>
  <c r="W5" i="2"/>
  <c r="Z4" i="2"/>
  <c r="W4" i="2"/>
  <c r="D66" i="2"/>
  <c r="Y6" i="2" s="1"/>
  <c r="C66" i="2"/>
  <c r="Y5" i="2" s="1"/>
  <c r="B66" i="2"/>
  <c r="Y4" i="2" s="1"/>
  <c r="D65" i="2"/>
  <c r="X6" i="2" s="1"/>
  <c r="C65" i="2"/>
  <c r="X5" i="2" s="1"/>
  <c r="B65" i="2"/>
  <c r="X4" i="2" s="1"/>
  <c r="F54" i="2"/>
  <c r="W8" i="2" s="1"/>
  <c r="E54" i="2"/>
  <c r="W7" i="2" s="1"/>
  <c r="D37" i="2"/>
  <c r="C37" i="2"/>
  <c r="D35" i="2"/>
  <c r="C35" i="2"/>
  <c r="D33" i="2"/>
  <c r="D30" i="2"/>
  <c r="C30" i="2"/>
  <c r="E21" i="2"/>
  <c r="F21" i="2" s="1"/>
  <c r="E17" i="2"/>
  <c r="F17" i="2" s="1"/>
  <c r="E15" i="2"/>
  <c r="F15" i="2" s="1"/>
  <c r="D13" i="2"/>
  <c r="C13" i="2"/>
  <c r="E12" i="2"/>
  <c r="F12" i="2" s="1"/>
  <c r="E11" i="2"/>
  <c r="F11" i="2" s="1"/>
  <c r="E10" i="2"/>
  <c r="F10" i="2" s="1"/>
  <c r="E9" i="2"/>
  <c r="F9" i="2" s="1"/>
  <c r="D8" i="2"/>
  <c r="C8" i="2"/>
  <c r="C14" i="2" s="1"/>
  <c r="E7" i="2"/>
  <c r="F7" i="2" s="1"/>
  <c r="E6" i="2"/>
  <c r="F6" i="2" s="1"/>
  <c r="X6" i="1"/>
  <c r="W6" i="1"/>
  <c r="X5" i="1"/>
  <c r="W5" i="1"/>
  <c r="X4" i="1"/>
  <c r="W4" i="1"/>
  <c r="F132" i="1"/>
  <c r="E132" i="1"/>
  <c r="D119" i="1"/>
  <c r="C119" i="1"/>
  <c r="D115" i="1"/>
  <c r="C11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5" i="1"/>
  <c r="C95" i="1"/>
  <c r="D94" i="1"/>
  <c r="C94" i="1"/>
  <c r="D93" i="1"/>
  <c r="C93" i="1"/>
  <c r="D92" i="1"/>
  <c r="C92" i="1"/>
  <c r="D91" i="1"/>
  <c r="C91" i="1"/>
  <c r="D90" i="1"/>
  <c r="C90" i="1"/>
  <c r="D84" i="1"/>
  <c r="C84" i="1"/>
  <c r="D83" i="1"/>
  <c r="C83" i="1"/>
  <c r="D82" i="1"/>
  <c r="C82" i="1"/>
  <c r="D78" i="1"/>
  <c r="C78" i="1"/>
  <c r="D76" i="1"/>
  <c r="C76" i="1"/>
  <c r="D75" i="1"/>
  <c r="C75" i="1"/>
  <c r="D74" i="1"/>
  <c r="C74" i="1"/>
  <c r="D73" i="1"/>
  <c r="C73" i="1"/>
  <c r="D71" i="1"/>
  <c r="C71" i="1"/>
  <c r="D59" i="1"/>
  <c r="C59" i="1"/>
  <c r="E59" i="1" s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D50" i="1"/>
  <c r="C50" i="1"/>
  <c r="E50" i="1" s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0" i="1"/>
  <c r="F40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D24" i="1"/>
  <c r="C24" i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D15" i="1"/>
  <c r="C15" i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35" i="3" l="1"/>
  <c r="F35" i="3" s="1"/>
  <c r="C63" i="3"/>
  <c r="E65" i="3"/>
  <c r="F65" i="3" s="1"/>
  <c r="E59" i="3"/>
  <c r="F59" i="3" s="1"/>
  <c r="C61" i="3"/>
  <c r="E93" i="1"/>
  <c r="F93" i="1" s="1"/>
  <c r="E100" i="1"/>
  <c r="F100" i="1" s="1"/>
  <c r="E101" i="1"/>
  <c r="F101" i="1" s="1"/>
  <c r="E13" i="2"/>
  <c r="F13" i="2" s="1"/>
  <c r="D49" i="2"/>
  <c r="E37" i="2"/>
  <c r="F37" i="2" s="1"/>
  <c r="E8" i="2"/>
  <c r="F8" i="2" s="1"/>
  <c r="E33" i="2"/>
  <c r="F33" i="2" s="1"/>
  <c r="C49" i="2"/>
  <c r="D14" i="2"/>
  <c r="E58" i="2" s="1"/>
  <c r="W16" i="2" s="1"/>
  <c r="E95" i="1"/>
  <c r="F95" i="1" s="1"/>
  <c r="E15" i="1"/>
  <c r="F15" i="1" s="1"/>
  <c r="E83" i="1"/>
  <c r="F83" i="1" s="1"/>
  <c r="E92" i="1"/>
  <c r="F92" i="1" s="1"/>
  <c r="E71" i="1"/>
  <c r="F71" i="1" s="1"/>
  <c r="C77" i="1"/>
  <c r="E78" i="1"/>
  <c r="F78" i="1" s="1"/>
  <c r="E47" i="3"/>
  <c r="F47" i="3" s="1"/>
  <c r="E76" i="1"/>
  <c r="F76" i="1" s="1"/>
  <c r="E102" i="1"/>
  <c r="F102" i="1" s="1"/>
  <c r="E99" i="1"/>
  <c r="F99" i="1" s="1"/>
  <c r="E103" i="1"/>
  <c r="F103" i="1" s="1"/>
  <c r="C85" i="1"/>
  <c r="E94" i="1"/>
  <c r="F94" i="1" s="1"/>
  <c r="E104" i="1"/>
  <c r="F104" i="1" s="1"/>
  <c r="D96" i="1"/>
  <c r="C105" i="1"/>
  <c r="X13" i="1" s="1"/>
  <c r="E84" i="1"/>
  <c r="F84" i="1" s="1"/>
  <c r="C96" i="1"/>
  <c r="E74" i="1"/>
  <c r="F74" i="1" s="1"/>
  <c r="E90" i="1"/>
  <c r="F90" i="1" s="1"/>
  <c r="E24" i="1"/>
  <c r="F24" i="1" s="1"/>
  <c r="E75" i="1"/>
  <c r="F75" i="1" s="1"/>
  <c r="D85" i="1"/>
  <c r="E91" i="1"/>
  <c r="F91" i="1" s="1"/>
  <c r="D105" i="1"/>
  <c r="X12" i="1" s="1"/>
  <c r="E73" i="1"/>
  <c r="F73" i="1" s="1"/>
  <c r="D120" i="1"/>
  <c r="D71" i="3" s="1"/>
  <c r="C79" i="1"/>
  <c r="C86" i="1" s="1"/>
  <c r="E115" i="1"/>
  <c r="F115" i="1" s="1"/>
  <c r="D22" i="2"/>
  <c r="E30" i="2"/>
  <c r="F30" i="2" s="1"/>
  <c r="F58" i="2"/>
  <c r="W17" i="2" s="1"/>
  <c r="D61" i="3"/>
  <c r="E84" i="3"/>
  <c r="X4" i="3" s="1"/>
  <c r="C16" i="2"/>
  <c r="C22" i="2"/>
  <c r="C26" i="1"/>
  <c r="D77" i="1"/>
  <c r="F66" i="2"/>
  <c r="Y8" i="2" s="1"/>
  <c r="E82" i="1"/>
  <c r="F82" i="1" s="1"/>
  <c r="E35" i="2"/>
  <c r="F35" i="2" s="1"/>
  <c r="E27" i="3"/>
  <c r="F27" i="3" s="1"/>
  <c r="D26" i="1"/>
  <c r="D45" i="2" s="1"/>
  <c r="E119" i="1"/>
  <c r="F119" i="1" s="1"/>
  <c r="E85" i="3"/>
  <c r="Y4" i="3" s="1"/>
  <c r="D63" i="3"/>
  <c r="E63" i="3" s="1"/>
  <c r="F63" i="3" s="1"/>
  <c r="E44" i="3"/>
  <c r="F44" i="3" s="1"/>
  <c r="E61" i="3" l="1"/>
  <c r="F61" i="3" s="1"/>
  <c r="E49" i="2"/>
  <c r="F49" i="2" s="1"/>
  <c r="E66" i="2"/>
  <c r="Y7" i="2" s="1"/>
  <c r="E60" i="2"/>
  <c r="Y16" i="2" s="1"/>
  <c r="D16" i="2"/>
  <c r="D18" i="2" s="1"/>
  <c r="E67" i="2" s="1"/>
  <c r="E14" i="2"/>
  <c r="F14" i="2" s="1"/>
  <c r="E77" i="1"/>
  <c r="F77" i="1" s="1"/>
  <c r="D106" i="1"/>
  <c r="E120" i="1"/>
  <c r="F120" i="1" s="1"/>
  <c r="E71" i="3"/>
  <c r="F71" i="3" s="1"/>
  <c r="E96" i="1"/>
  <c r="F96" i="1" s="1"/>
  <c r="E105" i="1"/>
  <c r="F105" i="1" s="1"/>
  <c r="C106" i="1"/>
  <c r="W13" i="1"/>
  <c r="W12" i="1"/>
  <c r="E85" i="1"/>
  <c r="F85" i="1" s="1"/>
  <c r="C114" i="1"/>
  <c r="C118" i="1" s="1"/>
  <c r="F62" i="2" s="1"/>
  <c r="C126" i="1"/>
  <c r="C18" i="2"/>
  <c r="E26" i="1"/>
  <c r="F26" i="1" s="1"/>
  <c r="F131" i="1"/>
  <c r="W8" i="1" s="1"/>
  <c r="D79" i="1"/>
  <c r="D72" i="3"/>
  <c r="D73" i="3" s="1"/>
  <c r="E65" i="2"/>
  <c r="X7" i="2" s="1"/>
  <c r="E59" i="2"/>
  <c r="X16" i="2" s="1"/>
  <c r="D23" i="2"/>
  <c r="D43" i="2"/>
  <c r="F65" i="2"/>
  <c r="X8" i="2" s="1"/>
  <c r="C31" i="2"/>
  <c r="E22" i="2"/>
  <c r="F22" i="2" s="1"/>
  <c r="C72" i="3"/>
  <c r="C43" i="2"/>
  <c r="C23" i="2"/>
  <c r="F59" i="2"/>
  <c r="X17" i="2" s="1"/>
  <c r="F60" i="2"/>
  <c r="Y17" i="2" s="1"/>
  <c r="E131" i="1"/>
  <c r="W7" i="1" s="1"/>
  <c r="C45" i="2"/>
  <c r="E45" i="2" s="1"/>
  <c r="F45" i="2" s="1"/>
  <c r="D31" i="2"/>
  <c r="D32" i="2" s="1"/>
  <c r="E16" i="2" l="1"/>
  <c r="F16" i="2" s="1"/>
  <c r="C73" i="3"/>
  <c r="E106" i="1"/>
  <c r="F106" i="1" s="1"/>
  <c r="D7" i="3"/>
  <c r="D17" i="3" s="1"/>
  <c r="D28" i="3" s="1"/>
  <c r="D39" i="1"/>
  <c r="D41" i="1" s="1"/>
  <c r="E61" i="2" s="1"/>
  <c r="Z16" i="2" s="1"/>
  <c r="E43" i="2"/>
  <c r="F43" i="2" s="1"/>
  <c r="E73" i="3"/>
  <c r="F73" i="3" s="1"/>
  <c r="C7" i="3"/>
  <c r="F67" i="2"/>
  <c r="C39" i="1"/>
  <c r="E18" i="2"/>
  <c r="F18" i="2" s="1"/>
  <c r="Z7" i="2"/>
  <c r="E80" i="3"/>
  <c r="W13" i="3" s="1"/>
  <c r="E72" i="3"/>
  <c r="F72" i="3" s="1"/>
  <c r="D126" i="1"/>
  <c r="E126" i="1" s="1"/>
  <c r="F126" i="1" s="1"/>
  <c r="D114" i="1"/>
  <c r="D86" i="1"/>
  <c r="E79" i="1"/>
  <c r="F79" i="1" s="1"/>
  <c r="E31" i="2"/>
  <c r="F31" i="2" s="1"/>
  <c r="C32" i="2"/>
  <c r="D42" i="2"/>
  <c r="D34" i="2"/>
  <c r="D58" i="3" l="1"/>
  <c r="D60" i="3" s="1"/>
  <c r="D108" i="1"/>
  <c r="Y12" i="1" s="1"/>
  <c r="E133" i="1"/>
  <c r="X7" i="1" s="1"/>
  <c r="D61" i="1"/>
  <c r="D62" i="1" s="1"/>
  <c r="D75" i="3"/>
  <c r="D62" i="3"/>
  <c r="E86" i="1"/>
  <c r="F86" i="1" s="1"/>
  <c r="C42" i="2"/>
  <c r="E42" i="2" s="1"/>
  <c r="F42" i="2" s="1"/>
  <c r="E32" i="2"/>
  <c r="F32" i="2" s="1"/>
  <c r="C34" i="2"/>
  <c r="E39" i="1"/>
  <c r="F39" i="1" s="1"/>
  <c r="C41" i="1"/>
  <c r="F80" i="3"/>
  <c r="W14" i="3" s="1"/>
  <c r="Z8" i="2"/>
  <c r="D44" i="2"/>
  <c r="D46" i="2" s="1"/>
  <c r="D36" i="2"/>
  <c r="D118" i="1"/>
  <c r="E114" i="1"/>
  <c r="F114" i="1" s="1"/>
  <c r="E83" i="3"/>
  <c r="D46" i="3"/>
  <c r="C17" i="3"/>
  <c r="E7" i="3"/>
  <c r="F7" i="3" s="1"/>
  <c r="D116" i="1" l="1"/>
  <c r="D124" i="1"/>
  <c r="D117" i="1"/>
  <c r="D109" i="1"/>
  <c r="D110" i="1" s="1"/>
  <c r="D122" i="1"/>
  <c r="D123" i="1"/>
  <c r="D121" i="1"/>
  <c r="D125" i="1"/>
  <c r="D38" i="2"/>
  <c r="D47" i="2" s="1"/>
  <c r="D48" i="2"/>
  <c r="C44" i="2"/>
  <c r="C36" i="2"/>
  <c r="E34" i="2"/>
  <c r="F34" i="2" s="1"/>
  <c r="E62" i="2"/>
  <c r="E118" i="1"/>
  <c r="F118" i="1" s="1"/>
  <c r="E17" i="3"/>
  <c r="F17" i="3" s="1"/>
  <c r="C28" i="3"/>
  <c r="C58" i="3"/>
  <c r="D48" i="3"/>
  <c r="D66" i="3" s="1"/>
  <c r="F133" i="1"/>
  <c r="X8" i="1" s="1"/>
  <c r="C108" i="1"/>
  <c r="E41" i="1"/>
  <c r="F41" i="1" s="1"/>
  <c r="C61" i="1"/>
  <c r="C62" i="1" s="1"/>
  <c r="F61" i="2"/>
  <c r="Z17" i="2" s="1"/>
  <c r="D74" i="3"/>
  <c r="D64" i="3"/>
  <c r="E86" i="3"/>
  <c r="Z4" i="3" s="1"/>
  <c r="W4" i="3"/>
  <c r="D67" i="3" l="1"/>
  <c r="E61" i="1"/>
  <c r="F61" i="1" s="1"/>
  <c r="E36" i="2"/>
  <c r="F36" i="2" s="1"/>
  <c r="C38" i="2"/>
  <c r="C48" i="2"/>
  <c r="E48" i="2" s="1"/>
  <c r="F48" i="2" s="1"/>
  <c r="C46" i="2"/>
  <c r="E46" i="2" s="1"/>
  <c r="F46" i="2" s="1"/>
  <c r="E44" i="2"/>
  <c r="F44" i="2" s="1"/>
  <c r="C60" i="3"/>
  <c r="E58" i="3"/>
  <c r="F58" i="3" s="1"/>
  <c r="Y13" i="1"/>
  <c r="C121" i="1"/>
  <c r="E121" i="1" s="1"/>
  <c r="F121" i="1" s="1"/>
  <c r="C125" i="1"/>
  <c r="E125" i="1" s="1"/>
  <c r="F125" i="1" s="1"/>
  <c r="E108" i="1"/>
  <c r="F108" i="1" s="1"/>
  <c r="C124" i="1"/>
  <c r="E124" i="1" s="1"/>
  <c r="F124" i="1" s="1"/>
  <c r="C117" i="1"/>
  <c r="E117" i="1" s="1"/>
  <c r="F117" i="1" s="1"/>
  <c r="E123" i="1"/>
  <c r="F123" i="1" s="1"/>
  <c r="C116" i="1"/>
  <c r="E116" i="1" s="1"/>
  <c r="F116" i="1" s="1"/>
  <c r="C109" i="1"/>
  <c r="C122" i="1"/>
  <c r="E122" i="1" s="1"/>
  <c r="F122" i="1" s="1"/>
  <c r="D49" i="3"/>
  <c r="D50" i="3" s="1"/>
  <c r="E28" i="3"/>
  <c r="F28" i="3" s="1"/>
  <c r="F83" i="3"/>
  <c r="C46" i="3"/>
  <c r="E109" i="1" l="1"/>
  <c r="F109" i="1" s="1"/>
  <c r="C110" i="1"/>
  <c r="C75" i="3"/>
  <c r="E75" i="3" s="1"/>
  <c r="F75" i="3" s="1"/>
  <c r="C62" i="3"/>
  <c r="E60" i="3"/>
  <c r="F60" i="3" s="1"/>
  <c r="E46" i="3"/>
  <c r="F46" i="3" s="1"/>
  <c r="C48" i="3"/>
  <c r="C66" i="3" s="1"/>
  <c r="E66" i="3" s="1"/>
  <c r="F66" i="3" s="1"/>
  <c r="W5" i="3"/>
  <c r="F86" i="3"/>
  <c r="Z5" i="3" s="1"/>
  <c r="E38" i="2"/>
  <c r="F38" i="2" s="1"/>
  <c r="C47" i="2"/>
  <c r="E47" i="2" s="1"/>
  <c r="F47" i="2" s="1"/>
  <c r="C49" i="3" l="1"/>
  <c r="C74" i="3"/>
  <c r="E74" i="3" s="1"/>
  <c r="F74" i="3" s="1"/>
  <c r="C64" i="3"/>
  <c r="E62" i="3"/>
  <c r="F62" i="3" s="1"/>
  <c r="C67" i="3" l="1"/>
  <c r="E67" i="3" s="1"/>
  <c r="F67" i="3" s="1"/>
  <c r="E64" i="3"/>
  <c r="F64" i="3" s="1"/>
  <c r="E49" i="3"/>
  <c r="F49" i="3" s="1"/>
  <c r="C50" i="3"/>
</calcChain>
</file>

<file path=xl/sharedStrings.xml><?xml version="1.0" encoding="utf-8"?>
<sst xmlns="http://schemas.openxmlformats.org/spreadsheetml/2006/main" count="397" uniqueCount="271">
  <si>
    <t>Stato Patrimoniale Consolidato — valori in migliaia di Euro, salvo diversa indicazione</t>
  </si>
  <si>
    <t>Voce</t>
  </si>
  <si>
    <t>Nota</t>
  </si>
  <si>
    <t>31/12/2025</t>
  </si>
  <si>
    <t>31/12/2024</t>
  </si>
  <si>
    <t>Variazione</t>
  </si>
  <si>
    <t>Var %</t>
  </si>
  <si>
    <t>ATTIVO</t>
  </si>
  <si>
    <t>Attività non correnti</t>
  </si>
  <si>
    <t>Immobili, impianti e macchinari</t>
  </si>
  <si>
    <t>4.1</t>
  </si>
  <si>
    <t>Attività immateriali</t>
  </si>
  <si>
    <t>4.2</t>
  </si>
  <si>
    <t>Avviamenti</t>
  </si>
  <si>
    <t>4.3</t>
  </si>
  <si>
    <t>Partecipazioni</t>
  </si>
  <si>
    <t>4.4</t>
  </si>
  <si>
    <t>Altre partecipazioni e titoli</t>
  </si>
  <si>
    <t>Crediti</t>
  </si>
  <si>
    <t>4.5</t>
  </si>
  <si>
    <t>Attività fiscali differite</t>
  </si>
  <si>
    <t>4.6</t>
  </si>
  <si>
    <t>Totale attività non correnti</t>
  </si>
  <si>
    <t>Attività correnti</t>
  </si>
  <si>
    <t>Rimanenze di magazzino</t>
  </si>
  <si>
    <t>4.7</t>
  </si>
  <si>
    <t>Crediti commerciali</t>
  </si>
  <si>
    <t>4.8</t>
  </si>
  <si>
    <t>Crediti tributari</t>
  </si>
  <si>
    <t>4.9</t>
  </si>
  <si>
    <t>Altre attività correnti</t>
  </si>
  <si>
    <t>4.10</t>
  </si>
  <si>
    <t>Strumenti derivati valutati al fair value</t>
  </si>
  <si>
    <t>4.11</t>
  </si>
  <si>
    <t>Investimenti finanziari a breve termine e disponibilità liquide</t>
  </si>
  <si>
    <t>4.12</t>
  </si>
  <si>
    <t>Totale attività correnti</t>
  </si>
  <si>
    <t>TOTALE ATTIVO</t>
  </si>
  <si>
    <t>PASSIVO E PATRIMONIO NETTO</t>
  </si>
  <si>
    <t>Patrimonio netto</t>
  </si>
  <si>
    <t>Capitale sociale</t>
  </si>
  <si>
    <t>Riserva sovrapprezzo azioni</t>
  </si>
  <si>
    <t>Azioni proprie</t>
  </si>
  <si>
    <t>Riserva azioni società controllante</t>
  </si>
  <si>
    <t>Riserva per strumenti finanziari derivati al fair value</t>
  </si>
  <si>
    <t>Differenza da conversione dei bilanci in valuta estera</t>
  </si>
  <si>
    <t>Altre riserve</t>
  </si>
  <si>
    <t>Riserva First Time Adoption</t>
  </si>
  <si>
    <t>Utili indivisi</t>
  </si>
  <si>
    <t>Risultato netto dell'esercizio</t>
  </si>
  <si>
    <t>Acconto sul dividendo</t>
  </si>
  <si>
    <t>Totale patrimonio netto</t>
  </si>
  <si>
    <t>4.13</t>
  </si>
  <si>
    <t>Passività non correnti</t>
  </si>
  <si>
    <t>Finanziamenti dovuti oltre un anno</t>
  </si>
  <si>
    <t>4.14</t>
  </si>
  <si>
    <t>Trattamento di fine rapporto e altri benefici</t>
  </si>
  <si>
    <t>4.15</t>
  </si>
  <si>
    <t>Passività per imposte differite</t>
  </si>
  <si>
    <t>4.17</t>
  </si>
  <si>
    <t>Fondi per rischi e oneri</t>
  </si>
  <si>
    <t>4.16</t>
  </si>
  <si>
    <t>4.18</t>
  </si>
  <si>
    <t>Altri debiti</t>
  </si>
  <si>
    <t>4.19</t>
  </si>
  <si>
    <t>Totale passività non correnti</t>
  </si>
  <si>
    <t>Passività correnti</t>
  </si>
  <si>
    <t>Debiti commerciali</t>
  </si>
  <si>
    <t>4.20</t>
  </si>
  <si>
    <t>Debiti tributari</t>
  </si>
  <si>
    <t>4.21</t>
  </si>
  <si>
    <t>Altre passività correnti</t>
  </si>
  <si>
    <t>4.22</t>
  </si>
  <si>
    <t>4.23</t>
  </si>
  <si>
    <t>4.24</t>
  </si>
  <si>
    <t>Finanziamenti dovuti entro un anno</t>
  </si>
  <si>
    <t>4.25</t>
  </si>
  <si>
    <t>Totale passività correnti</t>
  </si>
  <si>
    <t>TOTALE PATRIMONIO NETTO E PASSIVITÀ</t>
  </si>
  <si>
    <t>Verifica di quadratura (Totale attivo − Totale PN e passività)</t>
  </si>
  <si>
    <t>Fonte: Fidia Farmaceutici S.p.A., Bilancio Consolidato al 31/12/2025, «Situazione patrimoniale e finanziaria consolidata», pagg. 72-73/89, Note 4.1-4.25 (documento depositato, conforme all'originale ai sensi dell'art. 31 c. 2-quinquies L. 340/2000). Valori in migliaia di Euro. La voce «Risultato netto dell'esercizio» è collegata al Conto Economico (cella C18/D18) per garantire la coerenza tra i tre prospetti («three statement»).</t>
  </si>
  <si>
    <t>2. STATO PATRIMONIALE RICLASSIFICATO — METODO ICAS (schema finanziario CERVED, per liquidità ed esigibilità)</t>
  </si>
  <si>
    <t>IMPIEGHI (ATTIVO)</t>
  </si>
  <si>
    <t>Liquidità immediate (disponibilità liquide e mezzi equivalenti)</t>
  </si>
  <si>
    <t>Liquidità differite:</t>
  </si>
  <si>
    <t>Strumenti derivati al fair value</t>
  </si>
  <si>
    <t>Totale liquidità differite</t>
  </si>
  <si>
    <t>Rimanenze</t>
  </si>
  <si>
    <t>TOTALE ATTIVO CIRCOLANTE (Capitale Circolante Lordo)</t>
  </si>
  <si>
    <t>Immobilizzazioni (Attivo Fisso):</t>
  </si>
  <si>
    <t>Immobilizzazioni immateriali (incl. avviamento)</t>
  </si>
  <si>
    <t>Immobilizzazioni materiali</t>
  </si>
  <si>
    <t>Immobilizzazioni finanziarie (partecipazioni, crediti e imposte anticipate)</t>
  </si>
  <si>
    <t>TOTALE ATTIVO FISSO (Immobilizzazioni nette)</t>
  </si>
  <si>
    <t>TOTALE IMPIEGHI</t>
  </si>
  <si>
    <t>FONTI (PASSIVO E PATRIMONIO NETTO)</t>
  </si>
  <si>
    <t>Debiti a breve termine (Passività correnti):</t>
  </si>
  <si>
    <t>Debiti finanziari a breve termine</t>
  </si>
  <si>
    <t>Fondi per rischi e oneri (quota breve)</t>
  </si>
  <si>
    <t>Strumenti derivati al fair value (quota corrente)</t>
  </si>
  <si>
    <t>TOTALE DEBITI A BREVE TERMINE</t>
  </si>
  <si>
    <t>Debiti a medio-lungo termine (Passività consolidate):</t>
  </si>
  <si>
    <t>Debiti finanziari a medio-lungo termine</t>
  </si>
  <si>
    <t>Fondi per rischi e oneri (quota lungo)</t>
  </si>
  <si>
    <t>Strumenti derivati al fair value (quota non corrente)</t>
  </si>
  <si>
    <t>TOTALE DEBITI A MEDIO-LUNGO TERMINE</t>
  </si>
  <si>
    <t>TOTALE DEBITI (Capitale di terzi)</t>
  </si>
  <si>
    <t>TOTALE FONTI</t>
  </si>
  <si>
    <t>Verifica di quadratura (Impieghi − Fonti)</t>
  </si>
  <si>
    <t>Indicatore</t>
  </si>
  <si>
    <t>Capitale Circolante Netto (CCN = Attivo circ. − Debiti a breve)</t>
  </si>
  <si>
    <t>Capitale Circolante Netto Commerciale (Crediti comm. + Rimanenze − Debiti comm.)</t>
  </si>
  <si>
    <t>Margine di struttura primario (PN − Attivo Fisso)</t>
  </si>
  <si>
    <t>Margine di struttura secondario (Capitale permanente − Attivo Fisso)</t>
  </si>
  <si>
    <t>Capitale Investito Netto (Attivo Fisso + CCN)</t>
  </si>
  <si>
    <t>Debiti finanziari totali (breve + lungo termine)</t>
  </si>
  <si>
    <t>Posizione Finanziaria Netta (PFN = Debiti finanziari − Liquidità immediate)</t>
  </si>
  <si>
    <t>Patrimonio Netto tangibile (PN − Immobilizzazioni immateriali)</t>
  </si>
  <si>
    <t>Leverage su PFN (PFN / Patrimonio Netto)</t>
  </si>
  <si>
    <t>Indice di adeguatezza patrimoniale (PN / Debiti totali)</t>
  </si>
  <si>
    <t>Quoziente primario di struttura (PN / Attivo Fisso)</t>
  </si>
  <si>
    <t>Quoziente secondario di struttura / Fixed Asset Ratio ((PN+Deb. m/l) / Attivo Fisso)</t>
  </si>
  <si>
    <t>Indice di liquidità (Attivo circolante / Passività correnti)</t>
  </si>
  <si>
    <t>4. SINTESI STORICA 2021-2025 (andamento pluriennale)</t>
  </si>
  <si>
    <t>2021</t>
  </si>
  <si>
    <t>2022</t>
  </si>
  <si>
    <t>2023</t>
  </si>
  <si>
    <t>2024</t>
  </si>
  <si>
    <t>2025</t>
  </si>
  <si>
    <t>Totale Attivo</t>
  </si>
  <si>
    <t>Patrimonio Netto (2021-23: stima Utile ÷ ROE)</t>
  </si>
  <si>
    <t>Anno</t>
  </si>
  <si>
    <t>Patrimonio Netto</t>
  </si>
  <si>
    <t>Debiti a breve</t>
  </si>
  <si>
    <t>Debiti a m/l</t>
  </si>
  <si>
    <t>Conto Economico Consolidato — valori in migliaia di Euro, salvo diversa indicazione</t>
  </si>
  <si>
    <t>1. CONTO ECONOMICO CONSOLIDATO IFRS (schema per destinazione di costo, ai sensi IAS 1)</t>
  </si>
  <si>
    <t>Ricavi netti</t>
  </si>
  <si>
    <t>5.1</t>
  </si>
  <si>
    <t>Costo del venduto</t>
  </si>
  <si>
    <t>5.2</t>
  </si>
  <si>
    <t>Risultato operativo lordo (Gross Profit)</t>
  </si>
  <si>
    <t>Spese di vendita</t>
  </si>
  <si>
    <t>Spese di ricerca e sviluppo</t>
  </si>
  <si>
    <t>Spese generali e amministrative</t>
  </si>
  <si>
    <t>Altri (oneri)/proventi netti</t>
  </si>
  <si>
    <t>Totale costi operativi</t>
  </si>
  <si>
    <t>RISULTATO OPERATIVO (EBIT)</t>
  </si>
  <si>
    <t>(Oneri)/proventi finanziari netti</t>
  </si>
  <si>
    <t>5.3</t>
  </si>
  <si>
    <t>Risultato prima delle imposte</t>
  </si>
  <si>
    <t>Imposte</t>
  </si>
  <si>
    <t>5.4</t>
  </si>
  <si>
    <t>UTILE NETTO DELL'ESERCIZIO</t>
  </si>
  <si>
    <t>Dati complementari (fonte: Relazione sulla Gestione — Principali dati economici consolidati)</t>
  </si>
  <si>
    <t>di cui: Ammortamenti e svalutazioni</t>
  </si>
  <si>
    <t>EBITDA (Margine Operativo Lordo)</t>
  </si>
  <si>
    <t>EBITDA margin (EBITDA / Ricavi netti)</t>
  </si>
  <si>
    <t>Fonte: Fidia Farmaceutici S.p.A., Bilancio Consolidato al 31/12/2025, «Conto Economico Consolidato», pag. 74/89 (Note 5.1-5.4), e Relazione sulla Gestione — «Principali dati economici consolidati», pag. 51/89 (per Ammortamenti/EBITDA). Valori in migliaia di Euro. Il totale «Risultato operativo» ricalcolato per formula (C14) può differire di ±1 migliaia di Euro dal dato pubblicato per arrotondamento.</t>
  </si>
  <si>
    <t>2. CONTO ECONOMICO RICLASSIFICATO — METODO ICAS (a valore aggiunto / EBITDA)</t>
  </si>
  <si>
    <t>Valore della produzione (Ricavi netti)</t>
  </si>
  <si>
    <t>Costi della produzione (mat. prime, servizi, personale — stima da ponte EBITDA)</t>
  </si>
  <si>
    <t>MOL / EBITDA (Margine Operativo Lordo)</t>
  </si>
  <si>
    <t>Ammortamenti, svalutazioni e accantonamenti</t>
  </si>
  <si>
    <t>EBIT (Risultato Operativo)</t>
  </si>
  <si>
    <t>Proventi/(oneri) della gestione finanziaria</t>
  </si>
  <si>
    <t>Risultato ante imposte (EBT)</t>
  </si>
  <si>
    <t>Imposte sul reddito</t>
  </si>
  <si>
    <t>RISULTATO NETTO</t>
  </si>
  <si>
    <t>3. INDICATORI DI REDDITIVITÀ ICAS</t>
  </si>
  <si>
    <t>MOL margin (MOL / Ricavi netti)</t>
  </si>
  <si>
    <t>EBITDA margin</t>
  </si>
  <si>
    <t>ROS — Return on Sales (EBIT / Ricavi netti)</t>
  </si>
  <si>
    <t>Asset Turnover (Ricavi netti / Totale Attivo)</t>
  </si>
  <si>
    <t>ROA — Return on Asset (ROS × Asset Turnover)</t>
  </si>
  <si>
    <t>ROE — Return on Equity (Utile netto / Patrimonio Netto)</t>
  </si>
  <si>
    <t>Tax rate (Imposte / Risultato ante imposte)</t>
  </si>
  <si>
    <t>Indice di sostenibilità degli oneri finanziari (Oneri finanziari / Ricavi)</t>
  </si>
  <si>
    <t>Fatturato / Ricavi netti</t>
  </si>
  <si>
    <t>Costo del personale</t>
  </si>
  <si>
    <t>Indicatori Cerved / ICAS (fonte: estratti CCIAA per 2021-23; ricalcolati per 2024-25)</t>
  </si>
  <si>
    <t>ROS — Return on Sales (EBIT / Fatturato)</t>
  </si>
  <si>
    <t>MOL / Ricavi (EBITDA margin)</t>
  </si>
  <si>
    <t>ROA (EBIT / Totale Attivo)</t>
  </si>
  <si>
    <t>ROE (Utile netto / Patrimonio Netto)</t>
  </si>
  <si>
    <t>ROI Cerved (EBIT / Capitale Investito Netto)</t>
  </si>
  <si>
    <t>Aggregati stimati 2021-2023 (Fatturato × indicatore Cerved) — 2024-2025 da Sezione 1</t>
  </si>
  <si>
    <t>EBITDA / MOL</t>
  </si>
  <si>
    <t>EBIT</t>
  </si>
  <si>
    <t>Utile Netto</t>
  </si>
  <si>
    <t>Fatturato</t>
  </si>
  <si>
    <t>EBITDA</t>
  </si>
  <si>
    <t>ROS</t>
  </si>
  <si>
    <t>MOL/Ricavi</t>
  </si>
  <si>
    <t>ROA</t>
  </si>
  <si>
    <t>ROE</t>
  </si>
  <si>
    <t>Rendiconto Finanziario Consolidato — valori in migliaia di Euro, salvo diversa indicazione</t>
  </si>
  <si>
    <t>1. RENDICONTO FINANZIARIO CONSOLIDATO IFRS (metodo indiretto)</t>
  </si>
  <si>
    <t>Flussi finanziari derivanti dall'attività di gestione</t>
  </si>
  <si>
    <t>Proventi e oneri finanziari</t>
  </si>
  <si>
    <t>(Plusvalenze)/minusvalenze derivanti dalla cessione di attività</t>
  </si>
  <si>
    <t>Accantonamenti e utilizzo fondi</t>
  </si>
  <si>
    <t>Ammortamenti delle immobilizzazioni</t>
  </si>
  <si>
    <t>Svalutazioni per perdite durevoli di valore</t>
  </si>
  <si>
    <t>Altre rettifiche per elementi non monetari</t>
  </si>
  <si>
    <t>Imposte sul reddito pagate</t>
  </si>
  <si>
    <t>Interessi pagati</t>
  </si>
  <si>
    <t>Flusso finanziario prima delle variazioni del CCN</t>
  </si>
  <si>
    <t>Capitale circolante</t>
  </si>
  <si>
    <t>Variazione crediti verso clienti</t>
  </si>
  <si>
    <t>Variazione rimanenze di magazzino</t>
  </si>
  <si>
    <t>Variazione altri crediti e altre attività correnti</t>
  </si>
  <si>
    <t>Variazione dei debiti verso fornitori</t>
  </si>
  <si>
    <t>Variazione altri debiti e altre passività correnti</t>
  </si>
  <si>
    <t>Variazione dei ratei e risconti attivi e passivi</t>
  </si>
  <si>
    <t>Variazione dei crediti verso controllante</t>
  </si>
  <si>
    <t>Variazione del capitale circolante</t>
  </si>
  <si>
    <t>DISPONIBILITÀ LIQUIDE GENERATE/(ASSORBITE) DALL'ATTIVITÀ DI GESTIONE</t>
  </si>
  <si>
    <t>Flussi finanziari derivanti dall'attività di investimento</t>
  </si>
  <si>
    <t>Investimenti netti in immobilizzazioni materiali</t>
  </si>
  <si>
    <t>Investimenti netti in immobilizzazioni immateriali</t>
  </si>
  <si>
    <t>Investimenti in immobilizzazioni finanziarie</t>
  </si>
  <si>
    <t>Acquisizione di partecipazioni</t>
  </si>
  <si>
    <t>DISPONIBILITÀ LIQUIDE GENERATE/(ASSORBITE) DALL'ATTIVITÀ DI INVESTIMENTO</t>
  </si>
  <si>
    <t>Flussi finanziari derivanti dall'attività di finanziamento</t>
  </si>
  <si>
    <t>Accensione finanziamenti</t>
  </si>
  <si>
    <t>Rimborso finanziamenti</t>
  </si>
  <si>
    <t>Pagamento passività per leasing</t>
  </si>
  <si>
    <t>Variazione debiti verso banche</t>
  </si>
  <si>
    <t>Altre variazioni di patrimonio netto</t>
  </si>
  <si>
    <t>Dividendi distribuiti</t>
  </si>
  <si>
    <t>DISPONIBILITÀ LIQUIDE GENERATE/(ASSORBITE) DALL'ATTIVITÀ DI FINANZIAMENTO</t>
  </si>
  <si>
    <t>VARIAZIONE DELLE DISPONIBILITÀ LIQUIDE NETTE</t>
  </si>
  <si>
    <t>Disponibilità liquide e mezzi equivalenti all'inizio dell'esercizio</t>
  </si>
  <si>
    <t>Differenze di cambio nette su disponibilità liquide e arrotondamenti (voce di quadratura)</t>
  </si>
  <si>
    <t>DISPONIBILITÀ LIQUIDE E MEZZI EQUIVALENTI ALLA FINE DELL'ESERCIZIO</t>
  </si>
  <si>
    <t>Verifica (rispetto alle disponibilità liquide da Stato Patrimoniale)</t>
  </si>
  <si>
    <t>Fonte: Fidia Farmaceutici S.p.A., Bilancio Consolidato al 31/12/2025, «Rendiconto Finanziario Consolidato», pag. 74-75/89. Valori in migliaia di Euro. Nota metodologica: nel documento originale il totale del flusso da attività di finanziamento e le disponibilità liquide iniziali/finali non sono riportati in forma pienamente esplicita per i due esercizi a confronto; i valori qui esposti sono stati ricostruiti e verificati per quadratura interna (somma dei componenti) e per coerenza con la «Situazione patrimoniale e finanziaria consolidata» e con il «Rendiconto finanziario consolidato sintetico» della Relazione sulla Gestione (pag. 52-53/89), da cui provengono anche le disponibilità liquide iniziali 2024 (Euro 140.428 migliaia). La voce «Differenze di cambio nette» è una posta di quadratura residuale (differenze cambio su disponibilità liquide di controllate estere e arrotondamenti in migliaia di Euro).</t>
  </si>
  <si>
    <t>2. RENDICONTO FINANZIARIO RICLASSIFICATO — METODO ICAS (sezione 7, per aree gestionali)</t>
  </si>
  <si>
    <t>Autofinanziamento (flusso di cassa della gestione reddituale ante variazione CCN)</t>
  </si>
  <si>
    <t>Variazione del Capitale Circolante Netto</t>
  </si>
  <si>
    <t>FLUSSO DI CASSA DELLA GESTIONE OPERATIVA (CFO)</t>
  </si>
  <si>
    <t>Flusso di cassa della gestione degli investimenti (CFI)</t>
  </si>
  <si>
    <t>FREE CASH FLOW (CFO + CFI)</t>
  </si>
  <si>
    <t>Flusso di cassa della gestione finanziaria (CFF)</t>
  </si>
  <si>
    <t>FLUSSO DI CASSA NETTO DEL PERIODO</t>
  </si>
  <si>
    <t>Disponibilità liquide iniziali</t>
  </si>
  <si>
    <t>Differenze di cambio e arrotondamenti</t>
  </si>
  <si>
    <t>DISPONIBILITÀ LIQUIDE FINALI</t>
  </si>
  <si>
    <t>3. INDICATORI DI LIQUIDITÀ E SOSTENIBILITÀ DEL DEBITO ICAS</t>
  </si>
  <si>
    <t>PFN (da Stato Patrimoniale riclassificato)</t>
  </si>
  <si>
    <t>EBITDA (da Conto Economico)</t>
  </si>
  <si>
    <t>PFN / EBITDA (Leva finanziaria)</t>
  </si>
  <si>
    <t>Free Cash Flow / Ricavi netti</t>
  </si>
  <si>
    <t>Indice di ritorno liquido dell'attivo (CFO / Totale Attivo)</t>
  </si>
  <si>
    <t>Utile Netto (rinvio a Conto Economico — Sez. 4)</t>
  </si>
  <si>
    <t>Dettaglio flussi di cassa 2024-2025 (2021-2023 non disponibile dagli estratti camerali)</t>
  </si>
  <si>
    <t>Flusso di cassa della gestione operativa (CFO)</t>
  </si>
  <si>
    <t>n.d.</t>
  </si>
  <si>
    <t>Flusso di cassa della gestione investimenti (CFI)</t>
  </si>
  <si>
    <t>VARIAZIONE NETTA DELLE DISPONIBILITÀ LIQUIDE</t>
  </si>
  <si>
    <t>CFO</t>
  </si>
  <si>
    <t>CFI</t>
  </si>
  <si>
    <t>CFF</t>
  </si>
  <si>
    <t>Variazione Netta</t>
  </si>
  <si>
    <t>FIDIA FARMACEUTICI S.p.A. — Balance Sheet</t>
  </si>
  <si>
    <t>1. STATO PATRIMONIALE CONSOLIDATO IFRS</t>
  </si>
  <si>
    <t>3. INDICATORI STRUTTURALI</t>
  </si>
  <si>
    <t>Tabella di supporto ai grafici</t>
  </si>
  <si>
    <t>FIDIA FARMACEUTICI S.p.A. — Income Statement</t>
  </si>
  <si>
    <t>FIDIA FARMACEUTICI S.p.A. — Cash Flow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</si>
</sst>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;\(0.0%\);\-"/>
    <numFmt numFmtId="166" formatCode="0.00\x"/>
  </numFmts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color rgb="FF40404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i/>
      <sz val="10"/>
      <name val="Arial"/>
      <family val="2"/>
    </font>
    <font>
      <sz val="10"/>
      <color rgb="FF000000"/>
      <name val="Arial"/>
      <family val="2"/>
    </font>
    <font>
      <i/>
      <sz val="9"/>
      <color rgb="FF595959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0"/>
      <color rgb="FF008000"/>
      <name val="Arial"/>
      <family val="2"/>
    </font>
    <font>
      <b/>
      <sz val="10"/>
      <color rgb="FF0000FF"/>
      <name val="Arial"/>
      <family val="2"/>
    </font>
    <font>
      <b/>
      <sz val="10"/>
      <color rgb="FF008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A7EBB"/>
      </patternFill>
    </fill>
    <fill>
      <patternFill patternType="solid">
        <fgColor rgb="FF8EA9C1"/>
        <bgColor rgb="FF9999FF"/>
      </patternFill>
    </fill>
    <fill>
      <patternFill patternType="solid">
        <fgColor rgb="FFEDEDED"/>
        <bgColor rgb="FFF9F9F9"/>
      </patternFill>
    </fill>
    <fill>
      <patternFill patternType="solid">
        <fgColor rgb="FFD9E1F2"/>
        <bgColor rgb="FFD9D9D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4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center"/>
    </xf>
    <xf numFmtId="164" fontId="8" fillId="0" borderId="0" xfId="0" applyNumberFormat="1" applyFont="1"/>
    <xf numFmtId="164" fontId="6" fillId="0" borderId="0" xfId="0" applyNumberFormat="1" applyFont="1"/>
    <xf numFmtId="165" fontId="6" fillId="0" borderId="0" xfId="0" applyNumberFormat="1" applyFont="1"/>
    <xf numFmtId="0" fontId="9" fillId="6" borderId="0" xfId="0" applyFont="1" applyFill="1" applyAlignment="1">
      <alignment horizontal="left" indent="1"/>
    </xf>
    <xf numFmtId="0" fontId="7" fillId="6" borderId="0" xfId="0" applyFont="1" applyFill="1" applyAlignment="1">
      <alignment horizontal="center"/>
    </xf>
    <xf numFmtId="164" fontId="9" fillId="6" borderId="2" xfId="0" applyNumberFormat="1" applyFont="1" applyFill="1" applyBorder="1"/>
    <xf numFmtId="165" fontId="9" fillId="6" borderId="2" xfId="0" applyNumberFormat="1" applyFont="1" applyFill="1" applyBorder="1"/>
    <xf numFmtId="0" fontId="4" fillId="2" borderId="0" xfId="0" applyFont="1" applyFill="1" applyAlignment="1">
      <alignment horizontal="left" indent="1"/>
    </xf>
    <xf numFmtId="0" fontId="4" fillId="2" borderId="0" xfId="0" applyFont="1" applyFill="1" applyAlignment="1">
      <alignment horizontal="center"/>
    </xf>
    <xf numFmtId="164" fontId="4" fillId="2" borderId="3" xfId="0" applyNumberFormat="1" applyFont="1" applyFill="1" applyBorder="1"/>
    <xf numFmtId="165" fontId="4" fillId="2" borderId="3" xfId="0" applyNumberFormat="1" applyFont="1" applyFill="1" applyBorder="1"/>
    <xf numFmtId="164" fontId="10" fillId="0" borderId="0" xfId="0" applyNumberFormat="1" applyFont="1"/>
    <xf numFmtId="0" fontId="7" fillId="0" borderId="0" xfId="0" applyFont="1" applyAlignment="1">
      <alignment horizontal="left" indent="1"/>
    </xf>
    <xf numFmtId="164" fontId="7" fillId="0" borderId="0" xfId="0" applyNumberFormat="1" applyFont="1"/>
    <xf numFmtId="164" fontId="9" fillId="6" borderId="3" xfId="0" applyNumberFormat="1" applyFont="1" applyFill="1" applyBorder="1"/>
    <xf numFmtId="165" fontId="9" fillId="6" borderId="3" xfId="0" applyNumberFormat="1" applyFont="1" applyFill="1" applyBorder="1"/>
    <xf numFmtId="164" fontId="9" fillId="6" borderId="0" xfId="0" applyNumberFormat="1" applyFont="1" applyFill="1"/>
    <xf numFmtId="165" fontId="9" fillId="6" borderId="0" xfId="0" applyNumberFormat="1" applyFont="1" applyFill="1"/>
    <xf numFmtId="166" fontId="6" fillId="0" borderId="0" xfId="0" applyNumberFormat="1" applyFont="1"/>
    <xf numFmtId="164" fontId="11" fillId="6" borderId="2" xfId="0" applyNumberFormat="1" applyFont="1" applyFill="1" applyBorder="1"/>
    <xf numFmtId="164" fontId="12" fillId="6" borderId="2" xfId="0" applyNumberFormat="1" applyFont="1" applyFill="1" applyBorder="1"/>
    <xf numFmtId="0" fontId="7" fillId="0" borderId="0" xfId="0" applyFont="1"/>
    <xf numFmtId="0" fontId="9" fillId="0" borderId="0" xfId="0" applyFont="1" applyAlignment="1">
      <alignment horizontal="left" indent="1"/>
    </xf>
    <xf numFmtId="164" fontId="9" fillId="0" borderId="3" xfId="0" applyNumberFormat="1" applyFont="1" applyBorder="1"/>
    <xf numFmtId="165" fontId="9" fillId="0" borderId="3" xfId="0" applyNumberFormat="1" applyFont="1" applyBorder="1"/>
    <xf numFmtId="166" fontId="10" fillId="0" borderId="0" xfId="0" applyNumberFormat="1" applyFont="1"/>
    <xf numFmtId="165" fontId="10" fillId="0" borderId="0" xfId="0" applyNumberFormat="1" applyFont="1"/>
    <xf numFmtId="164" fontId="11" fillId="6" borderId="0" xfId="0" applyNumberFormat="1" applyFont="1" applyFill="1"/>
    <xf numFmtId="164" fontId="12" fillId="6" borderId="0" xfId="0" applyNumberFormat="1" applyFont="1" applyFill="1"/>
    <xf numFmtId="165" fontId="8" fillId="0" borderId="0" xfId="0" applyNumberFormat="1" applyFont="1"/>
    <xf numFmtId="165" fontId="7" fillId="0" borderId="0" xfId="0" applyNumberFormat="1" applyFont="1"/>
    <xf numFmtId="164" fontId="7" fillId="6" borderId="2" xfId="0" applyNumberFormat="1" applyFont="1" applyFill="1" applyBorder="1"/>
    <xf numFmtId="0" fontId="3" fillId="3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indent="1"/>
    </xf>
    <xf numFmtId="0" fontId="7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BBB59"/>
      <rgbColor rgb="FF800080"/>
      <rgbColor rgb="FF4F81BD"/>
      <rgbColor rgb="FFBFBFBF"/>
      <rgbColor rgb="FF878787"/>
      <rgbColor rgb="FF9999FF"/>
      <rgbColor rgb="FFBE4B48"/>
      <rgbColor rgb="FFF9F9F9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8B855"/>
      <rgbColor rgb="FFFFCC00"/>
      <rgbColor rgb="FFFF9900"/>
      <rgbColor rgb="FFFF6600"/>
      <rgbColor rgb="FF7D5FA0"/>
      <rgbColor rgb="FF8EA9C1"/>
      <rgbColor rgb="FF003366"/>
      <rgbColor rgb="FF4A7EBB"/>
      <rgbColor rgb="FF003300"/>
      <rgbColor rgb="FF595959"/>
      <rgbColor rgb="FF993300"/>
      <rgbColor rgb="FFC0504D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Totale Attivo e Patrimonio Netto 2021-2025 (€/000)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'Stato Patrimoniale'!$W$3</c:f>
              <c:strCache>
                <c:ptCount val="1"/>
                <c:pt idx="0">
                  <c:v>Totale Attivo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'Stato Patrimoniale'!$V$4:$V$8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'Stato Patrimoniale'!$W$4:$W$8</c:f>
              <c:numCache>
                <c:formatCode>#,##0;\(#,##0\);\-</c:formatCode>
                <c:ptCount val="5"/>
                <c:pt idx="0">
                  <c:v>575976</c:v>
                </c:pt>
                <c:pt idx="1">
                  <c:v>640290</c:v>
                </c:pt>
                <c:pt idx="2">
                  <c:v>655310</c:v>
                </c:pt>
                <c:pt idx="3">
                  <c:v>797546</c:v>
                </c:pt>
                <c:pt idx="4">
                  <c:v>841669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16-0D44-9435-9CF3F3926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757929"/>
        <c:axId val="60747008"/>
      </c:barChart>
      <c:lineChart>
        <c:grouping val="standard"/>
        <c:varyColors val="0"/>
        <c:ser>
          <c:idx val="1"/>
          <c:order val="1"/>
          <c:tx>
            <c:strRef>
              <c:f>'Stato Patrimoniale'!$X$3</c:f>
              <c:strCache>
                <c:ptCount val="1"/>
                <c:pt idx="0">
                  <c:v>Patrimonio Netto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'Stato Patrimoniale'!$V$4:$V$8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'Stato Patrimoniale'!$X$4:$X$8</c:f>
              <c:numCache>
                <c:formatCode>#,##0;\(#,##0\);\-</c:formatCode>
                <c:ptCount val="5"/>
                <c:pt idx="0">
                  <c:v>212041</c:v>
                </c:pt>
                <c:pt idx="1">
                  <c:v>255622</c:v>
                </c:pt>
                <c:pt idx="2">
                  <c:v>291845</c:v>
                </c:pt>
                <c:pt idx="3">
                  <c:v>329380</c:v>
                </c:pt>
                <c:pt idx="4">
                  <c:v>362731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316-0D44-9435-9CF3F3926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5757929"/>
        <c:axId val="60747008"/>
      </c:lineChart>
      <c:catAx>
        <c:axId val="357579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IT"/>
          </a:p>
        </c:txPr>
        <c:crossAx val="60747008"/>
        <c:crosses val="autoZero"/>
        <c:auto val="1"/>
        <c:lblAlgn val="ctr"/>
        <c:lblOffset val="100"/>
        <c:noMultiLvlLbl val="0"/>
      </c:catAx>
      <c:valAx>
        <c:axId val="607470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IT"/>
          </a:p>
        </c:txPr>
        <c:crossAx val="357579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Composizione delle Fonti 2024-2025 (€/000)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'Stato Patrimoniale'!$W$11</c:f>
              <c:strCache>
                <c:ptCount val="1"/>
                <c:pt idx="0">
                  <c:v>Debiti a breve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'Stato Patrimoniale'!$V$12:$V$13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'Stato Patrimoniale'!$W$12:$W$13</c:f>
              <c:numCache>
                <c:formatCode>#,##0;\(#,##0\);\-</c:formatCode>
                <c:ptCount val="2"/>
                <c:pt idx="0">
                  <c:v>247514</c:v>
                </c:pt>
                <c:pt idx="1">
                  <c:v>187427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B-9E44-9505-1BBEB44CD890}"/>
            </c:ext>
          </c:extLst>
        </c:ser>
        <c:ser>
          <c:idx val="1"/>
          <c:order val="1"/>
          <c:tx>
            <c:strRef>
              <c:f>'Stato Patrimoniale'!$X$11</c:f>
              <c:strCache>
                <c:ptCount val="1"/>
                <c:pt idx="0">
                  <c:v>Debiti a m/l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'Stato Patrimoniale'!$V$12:$V$13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'Stato Patrimoniale'!$X$12:$X$13</c:f>
              <c:numCache>
                <c:formatCode>#,##0;\(#,##0\);\-</c:formatCode>
                <c:ptCount val="2"/>
                <c:pt idx="0">
                  <c:v>220650</c:v>
                </c:pt>
                <c:pt idx="1">
                  <c:v>291510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B-9E44-9505-1BBEB44CD890}"/>
            </c:ext>
          </c:extLst>
        </c:ser>
        <c:ser>
          <c:idx val="2"/>
          <c:order val="2"/>
          <c:tx>
            <c:strRef>
              <c:f>'Stato Patrimoniale'!$Y$11</c:f>
              <c:strCache>
                <c:ptCount val="1"/>
                <c:pt idx="0">
                  <c:v>Patrimonio Netto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'Stato Patrimoniale'!$V$12:$V$13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'Stato Patrimoniale'!$Y$12:$Y$13</c:f>
              <c:numCache>
                <c:formatCode>#,##0;\(#,##0\);\-</c:formatCode>
                <c:ptCount val="2"/>
                <c:pt idx="0">
                  <c:v>329380</c:v>
                </c:pt>
                <c:pt idx="1">
                  <c:v>362731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AB-9E44-9505-1BBEB44CD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12756"/>
        <c:axId val="63391187"/>
      </c:barChart>
      <c:catAx>
        <c:axId val="90127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IT"/>
          </a:p>
        </c:txPr>
        <c:crossAx val="63391187"/>
        <c:crosses val="autoZero"/>
        <c:auto val="1"/>
        <c:lblAlgn val="ctr"/>
        <c:lblOffset val="100"/>
        <c:noMultiLvlLbl val="0"/>
      </c:catAx>
      <c:valAx>
        <c:axId val="633911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IT"/>
          </a:p>
        </c:txPr>
        <c:crossAx val="90127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Ricavi, EBITDA, EBIT e Utile Netto 2021-2025 (€/000)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'Conto Economico'!$W$3</c:f>
              <c:strCache>
                <c:ptCount val="1"/>
                <c:pt idx="0">
                  <c:v>Fatturato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'Conto Economico'!$V$4:$V$8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'Conto Economico'!$W$4:$W$8</c:f>
              <c:numCache>
                <c:formatCode>#,##0;\(#,##0\);\-</c:formatCode>
                <c:ptCount val="5"/>
                <c:pt idx="0">
                  <c:v>358539</c:v>
                </c:pt>
                <c:pt idx="1">
                  <c:v>412074</c:v>
                </c:pt>
                <c:pt idx="2">
                  <c:v>454199</c:v>
                </c:pt>
                <c:pt idx="3">
                  <c:v>510120</c:v>
                </c:pt>
                <c:pt idx="4">
                  <c:v>538343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83-DE46-A58A-A411D93F9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417279"/>
        <c:axId val="28980850"/>
      </c:barChart>
      <c:lineChart>
        <c:grouping val="standard"/>
        <c:varyColors val="0"/>
        <c:ser>
          <c:idx val="1"/>
          <c:order val="1"/>
          <c:tx>
            <c:strRef>
              <c:f>'Conto Economico'!$X$3</c:f>
              <c:strCache>
                <c:ptCount val="1"/>
                <c:pt idx="0">
                  <c:v>EBITDA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'Conto Economico'!$V$4:$V$8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'Conto Economico'!$X$4:$X$8</c:f>
              <c:numCache>
                <c:formatCode>#,##0;\(#,##0\);\-</c:formatCode>
                <c:ptCount val="5"/>
                <c:pt idx="0">
                  <c:v>65971.175999999992</c:v>
                </c:pt>
                <c:pt idx="1">
                  <c:v>80354.430000000008</c:v>
                </c:pt>
                <c:pt idx="2">
                  <c:v>89477.203000000009</c:v>
                </c:pt>
                <c:pt idx="3">
                  <c:v>97513</c:v>
                </c:pt>
                <c:pt idx="4">
                  <c:v>110124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783-DE46-A58A-A411D93F9C7E}"/>
            </c:ext>
          </c:extLst>
        </c:ser>
        <c:ser>
          <c:idx val="2"/>
          <c:order val="2"/>
          <c:tx>
            <c:strRef>
              <c:f>'Conto Economico'!$Y$3</c:f>
              <c:strCache>
                <c:ptCount val="1"/>
                <c:pt idx="0">
                  <c:v>EBIT</c:v>
                </c:pt>
              </c:strCache>
            </c:strRef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'Conto Economico'!$V$4:$V$8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'Conto Economico'!$Y$4:$Y$8</c:f>
              <c:numCache>
                <c:formatCode>#,##0;\(#,##0\);\-</c:formatCode>
                <c:ptCount val="5"/>
                <c:pt idx="0">
                  <c:v>53780.85</c:v>
                </c:pt>
                <c:pt idx="1">
                  <c:v>51509.25</c:v>
                </c:pt>
                <c:pt idx="2">
                  <c:v>62679.462000000007</c:v>
                </c:pt>
                <c:pt idx="3">
                  <c:v>68986</c:v>
                </c:pt>
                <c:pt idx="4">
                  <c:v>60138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783-DE46-A58A-A411D93F9C7E}"/>
            </c:ext>
          </c:extLst>
        </c:ser>
        <c:ser>
          <c:idx val="3"/>
          <c:order val="3"/>
          <c:tx>
            <c:strRef>
              <c:f>'Conto Economico'!$Z$3</c:f>
              <c:strCache>
                <c:ptCount val="1"/>
                <c:pt idx="0">
                  <c:v>Utile Netto</c:v>
                </c:pt>
              </c:strCache>
            </c:strRef>
          </c:tx>
          <c:spPr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'Conto Economico'!$V$4:$V$8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'Conto Economico'!$Z$4:$Z$8</c:f>
              <c:numCache>
                <c:formatCode>#,##0;\(#,##0\);\-</c:formatCode>
                <c:ptCount val="5"/>
                <c:pt idx="0">
                  <c:v>36471</c:v>
                </c:pt>
                <c:pt idx="1">
                  <c:v>37832</c:v>
                </c:pt>
                <c:pt idx="2">
                  <c:v>45236</c:v>
                </c:pt>
                <c:pt idx="3">
                  <c:v>42116</c:v>
                </c:pt>
                <c:pt idx="4">
                  <c:v>39655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783-DE46-A58A-A411D93F9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8417279"/>
        <c:axId val="28980850"/>
      </c:lineChart>
      <c:catAx>
        <c:axId val="4841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IT"/>
          </a:p>
        </c:txPr>
        <c:crossAx val="28980850"/>
        <c:crosses val="autoZero"/>
        <c:auto val="1"/>
        <c:lblAlgn val="ctr"/>
        <c:lblOffset val="100"/>
        <c:noMultiLvlLbl val="0"/>
      </c:catAx>
      <c:valAx>
        <c:axId val="289808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IT"/>
          </a:p>
        </c:txPr>
        <c:crossAx val="484172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Margini e redditività 2021-2025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'Conto Economico'!$W$12</c:f>
              <c:strCache>
                <c:ptCount val="1"/>
                <c:pt idx="0">
                  <c:v>ROS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'Conto Economico'!$V$13:$V$17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'Conto Economico'!$W$13:$W$17</c:f>
              <c:numCache>
                <c:formatCode>0.0%;\(0.0%\);\-</c:formatCode>
                <c:ptCount val="5"/>
                <c:pt idx="0">
                  <c:v>0.15</c:v>
                </c:pt>
                <c:pt idx="1">
                  <c:v>0.125</c:v>
                </c:pt>
                <c:pt idx="2">
                  <c:v>0.13800000000000001</c:v>
                </c:pt>
                <c:pt idx="3">
                  <c:v>0.13523484670273661</c:v>
                </c:pt>
                <c:pt idx="4">
                  <c:v>0.11170944918016952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BE-DC4D-8BD7-CF3A1E1681A9}"/>
            </c:ext>
          </c:extLst>
        </c:ser>
        <c:ser>
          <c:idx val="1"/>
          <c:order val="1"/>
          <c:tx>
            <c:strRef>
              <c:f>'Conto Economico'!$X$12</c:f>
              <c:strCache>
                <c:ptCount val="1"/>
                <c:pt idx="0">
                  <c:v>MOL/Ricavi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'Conto Economico'!$V$13:$V$17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'Conto Economico'!$X$13:$X$17</c:f>
              <c:numCache>
                <c:formatCode>0.0%;\(0.0%\);\-</c:formatCode>
                <c:ptCount val="5"/>
                <c:pt idx="0">
                  <c:v>0.184</c:v>
                </c:pt>
                <c:pt idx="1">
                  <c:v>0.19500000000000001</c:v>
                </c:pt>
                <c:pt idx="2">
                  <c:v>0.19700000000000001</c:v>
                </c:pt>
                <c:pt idx="3">
                  <c:v>0.19115698267074413</c:v>
                </c:pt>
                <c:pt idx="4">
                  <c:v>0.20456103265018771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9BE-DC4D-8BD7-CF3A1E1681A9}"/>
            </c:ext>
          </c:extLst>
        </c:ser>
        <c:ser>
          <c:idx val="2"/>
          <c:order val="2"/>
          <c:tx>
            <c:strRef>
              <c:f>'Conto Economico'!$Y$12</c:f>
              <c:strCache>
                <c:ptCount val="1"/>
                <c:pt idx="0">
                  <c:v>ROA</c:v>
                </c:pt>
              </c:strCache>
            </c:strRef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'Conto Economico'!$V$13:$V$17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'Conto Economico'!$Y$13:$Y$17</c:f>
              <c:numCache>
                <c:formatCode>0.0%;\(0.0%\);\-</c:formatCode>
                <c:ptCount val="5"/>
                <c:pt idx="0">
                  <c:v>9.4E-2</c:v>
                </c:pt>
                <c:pt idx="1">
                  <c:v>8.1000000000000003E-2</c:v>
                </c:pt>
                <c:pt idx="2">
                  <c:v>9.6000000000000002E-2</c:v>
                </c:pt>
                <c:pt idx="3">
                  <c:v>8.6497832099966643E-2</c:v>
                </c:pt>
                <c:pt idx="4">
                  <c:v>7.1450891027232802E-2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9BE-DC4D-8BD7-CF3A1E1681A9}"/>
            </c:ext>
          </c:extLst>
        </c:ser>
        <c:ser>
          <c:idx val="3"/>
          <c:order val="3"/>
          <c:tx>
            <c:strRef>
              <c:f>'Conto Economico'!$Z$12</c:f>
              <c:strCache>
                <c:ptCount val="1"/>
                <c:pt idx="0">
                  <c:v>ROE</c:v>
                </c:pt>
              </c:strCache>
            </c:strRef>
          </c:tx>
          <c:spPr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'Conto Economico'!$V$13:$V$17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'Conto Economico'!$Z$13:$Z$17</c:f>
              <c:numCache>
                <c:formatCode>0.0%;\(0.0%\);\-</c:formatCode>
                <c:ptCount val="5"/>
                <c:pt idx="0">
                  <c:v>0.17199999999999999</c:v>
                </c:pt>
                <c:pt idx="1">
                  <c:v>0.14799999999999999</c:v>
                </c:pt>
                <c:pt idx="2">
                  <c:v>0.155</c:v>
                </c:pt>
                <c:pt idx="3">
                  <c:v>0.12786447264557654</c:v>
                </c:pt>
                <c:pt idx="4">
                  <c:v>0.10932343802983478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9BE-DC4D-8BD7-CF3A1E168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7443489"/>
        <c:axId val="66615678"/>
      </c:lineChart>
      <c:catAx>
        <c:axId val="474434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IT"/>
          </a:p>
        </c:txPr>
        <c:crossAx val="66615678"/>
        <c:crosses val="autoZero"/>
        <c:auto val="1"/>
        <c:lblAlgn val="ctr"/>
        <c:lblOffset val="100"/>
        <c:noMultiLvlLbl val="0"/>
      </c:catAx>
      <c:valAx>
        <c:axId val="666156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IT"/>
          </a:p>
        </c:txPr>
        <c:crossAx val="474434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Utile Netto 2021-2025 (€/000)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'Rendiconto Finanziario'!$W$9</c:f>
              <c:strCache>
                <c:ptCount val="1"/>
                <c:pt idx="0">
                  <c:v>Utile Netto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'Rendiconto Finanziario'!$V$10:$V$14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'Rendiconto Finanziario'!$W$10:$W$14</c:f>
              <c:numCache>
                <c:formatCode>#,##0;\(#,##0\);\-</c:formatCode>
                <c:ptCount val="5"/>
                <c:pt idx="0">
                  <c:v>36471</c:v>
                </c:pt>
                <c:pt idx="1">
                  <c:v>37832</c:v>
                </c:pt>
                <c:pt idx="2">
                  <c:v>45236</c:v>
                </c:pt>
                <c:pt idx="3">
                  <c:v>42116</c:v>
                </c:pt>
                <c:pt idx="4">
                  <c:v>39655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A-ED45-90ED-A4680BC2F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276510"/>
        <c:axId val="79503367"/>
      </c:barChart>
      <c:catAx>
        <c:axId val="372765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IT"/>
          </a:p>
        </c:txPr>
        <c:crossAx val="79503367"/>
        <c:crosses val="autoZero"/>
        <c:auto val="1"/>
        <c:lblAlgn val="ctr"/>
        <c:lblOffset val="100"/>
        <c:noMultiLvlLbl val="0"/>
      </c:catAx>
      <c:valAx>
        <c:axId val="795033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IT"/>
          </a:p>
        </c:txPr>
        <c:crossAx val="372765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Flussi di Cassa 2024-2025 (€/000)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'Rendiconto Finanziario'!$W$3</c:f>
              <c:strCache>
                <c:ptCount val="1"/>
                <c:pt idx="0">
                  <c:v>CFO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'Rendiconto Finanziario'!$V$4:$V$5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'Rendiconto Finanziario'!$W$4:$W$5</c:f>
              <c:numCache>
                <c:formatCode>#,##0;\(#,##0\);\-</c:formatCode>
                <c:ptCount val="2"/>
                <c:pt idx="0">
                  <c:v>41644</c:v>
                </c:pt>
                <c:pt idx="1">
                  <c:v>74510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D-C942-A00E-1FF2D4E35DE4}"/>
            </c:ext>
          </c:extLst>
        </c:ser>
        <c:ser>
          <c:idx val="1"/>
          <c:order val="1"/>
          <c:tx>
            <c:strRef>
              <c:f>'Rendiconto Finanziario'!$X$3</c:f>
              <c:strCache>
                <c:ptCount val="1"/>
                <c:pt idx="0">
                  <c:v>CFI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'Rendiconto Finanziario'!$V$4:$V$5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'Rendiconto Finanziario'!$X$4:$X$5</c:f>
              <c:numCache>
                <c:formatCode>#,##0;\(#,##0\);\-</c:formatCode>
                <c:ptCount val="2"/>
                <c:pt idx="0">
                  <c:v>-210023</c:v>
                </c:pt>
                <c:pt idx="1">
                  <c:v>-97977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4D-C942-A00E-1FF2D4E35DE4}"/>
            </c:ext>
          </c:extLst>
        </c:ser>
        <c:ser>
          <c:idx val="2"/>
          <c:order val="2"/>
          <c:tx>
            <c:strRef>
              <c:f>'Rendiconto Finanziario'!$Y$3</c:f>
              <c:strCache>
                <c:ptCount val="1"/>
                <c:pt idx="0">
                  <c:v>CFF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'Rendiconto Finanziario'!$V$4:$V$5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'Rendiconto Finanziario'!$Y$4:$Y$5</c:f>
              <c:numCache>
                <c:formatCode>#,##0;\(#,##0\);\-</c:formatCode>
                <c:ptCount val="2"/>
                <c:pt idx="0">
                  <c:v>75605</c:v>
                </c:pt>
                <c:pt idx="1">
                  <c:v>12379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4D-C942-A00E-1FF2D4E35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734402"/>
        <c:axId val="70469856"/>
      </c:barChart>
      <c:lineChart>
        <c:grouping val="stacked"/>
        <c:varyColors val="0"/>
        <c:ser>
          <c:idx val="3"/>
          <c:order val="3"/>
          <c:tx>
            <c:strRef>
              <c:f>'Rendiconto Finanziario'!$Z$3</c:f>
              <c:strCache>
                <c:ptCount val="1"/>
                <c:pt idx="0">
                  <c:v>Variazione Netta</c:v>
                </c:pt>
              </c:strCache>
            </c:strRef>
          </c:tx>
          <c:spPr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'Rendiconto Finanziario'!$V$4:$V$5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'Rendiconto Finanziario'!$Z$4:$Z$5</c:f>
              <c:numCache>
                <c:formatCode>#,##0;\(#,##0\);\-</c:formatCode>
                <c:ptCount val="2"/>
                <c:pt idx="0">
                  <c:v>-92774</c:v>
                </c:pt>
                <c:pt idx="1">
                  <c:v>-11088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E4D-C942-A00E-1FF2D4E35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9734402"/>
        <c:axId val="70469856"/>
      </c:lineChart>
      <c:catAx>
        <c:axId val="297344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IT"/>
          </a:p>
        </c:txPr>
        <c:crossAx val="70469856"/>
        <c:crosses val="autoZero"/>
        <c:auto val="1"/>
        <c:lblAlgn val="ctr"/>
        <c:lblOffset val="100"/>
        <c:noMultiLvlLbl val="0"/>
      </c:catAx>
      <c:valAx>
        <c:axId val="704698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IT"/>
          </a:p>
        </c:txPr>
        <c:crossAx val="297344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973666</xdr:colOff>
      <xdr:row>0</xdr:row>
      <xdr:rowOff>96777</xdr:rowOff>
    </xdr:from>
    <xdr:to>
      <xdr:col>20</xdr:col>
      <xdr:colOff>56443</xdr:colOff>
      <xdr:row>22</xdr:row>
      <xdr:rowOff>98777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945444</xdr:colOff>
      <xdr:row>25</xdr:row>
      <xdr:rowOff>3539</xdr:rowOff>
    </xdr:from>
    <xdr:to>
      <xdr:col>20</xdr:col>
      <xdr:colOff>98778</xdr:colOff>
      <xdr:row>45</xdr:row>
      <xdr:rowOff>14112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170533</xdr:rowOff>
    </xdr:from>
    <xdr:to>
      <xdr:col>19</xdr:col>
      <xdr:colOff>571500</xdr:colOff>
      <xdr:row>23</xdr:row>
      <xdr:rowOff>169333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952500</xdr:colOff>
      <xdr:row>25</xdr:row>
      <xdr:rowOff>84913</xdr:rowOff>
    </xdr:from>
    <xdr:to>
      <xdr:col>19</xdr:col>
      <xdr:colOff>635000</xdr:colOff>
      <xdr:row>47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21166</xdr:colOff>
      <xdr:row>0</xdr:row>
      <xdr:rowOff>270129</xdr:rowOff>
    </xdr:from>
    <xdr:to>
      <xdr:col>19</xdr:col>
      <xdr:colOff>740832</xdr:colOff>
      <xdr:row>27</xdr:row>
      <xdr:rowOff>21167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29</xdr:row>
      <xdr:rowOff>62425</xdr:rowOff>
    </xdr:from>
    <xdr:to>
      <xdr:col>19</xdr:col>
      <xdr:colOff>740832</xdr:colOff>
      <xdr:row>51</xdr:row>
      <xdr:rowOff>338666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33"/>
  <sheetViews>
    <sheetView showGridLines="0" tabSelected="1" topLeftCell="A75" zoomScale="173" zoomScaleNormal="90" workbookViewId="0">
      <selection activeCell="C122" sqref="C122"/>
    </sheetView>
  </sheetViews>
  <sheetFormatPr baseColWidth="10" defaultColWidth="8.6640625" defaultRowHeight="15" x14ac:dyDescent="0.2"/>
  <cols>
    <col min="1" max="1" width="58" customWidth="1"/>
    <col min="2" max="2" width="9" customWidth="1"/>
    <col min="3" max="4" width="15" customWidth="1"/>
    <col min="5" max="5" width="14" customWidth="1"/>
    <col min="6" max="6" width="12" customWidth="1"/>
    <col min="7" max="8" width="13" customWidth="1"/>
    <col min="20" max="22" width="10" customWidth="1"/>
    <col min="26" max="29" width="10" customWidth="1"/>
  </cols>
  <sheetData>
    <row r="1" spans="1:25" ht="25.5" customHeight="1" x14ac:dyDescent="0.2">
      <c r="A1" s="40" t="s">
        <v>265</v>
      </c>
      <c r="B1" s="40"/>
      <c r="C1" s="40"/>
      <c r="D1" s="40"/>
      <c r="E1" s="40"/>
      <c r="F1" s="40"/>
    </row>
    <row r="2" spans="1:25" ht="15.75" customHeight="1" x14ac:dyDescent="0.2">
      <c r="A2" s="41" t="s">
        <v>0</v>
      </c>
      <c r="B2" s="41"/>
      <c r="C2" s="41"/>
      <c r="D2" s="41"/>
      <c r="E2" s="41"/>
      <c r="F2" s="41"/>
      <c r="V2" s="26" t="s">
        <v>268</v>
      </c>
    </row>
    <row r="3" spans="1:25" x14ac:dyDescent="0.2">
      <c r="V3" s="26" t="s">
        <v>131</v>
      </c>
      <c r="W3" s="26" t="s">
        <v>129</v>
      </c>
      <c r="X3" s="26" t="s">
        <v>132</v>
      </c>
    </row>
    <row r="4" spans="1:25" ht="19.5" customHeight="1" x14ac:dyDescent="0.2">
      <c r="A4" s="37" t="s">
        <v>266</v>
      </c>
      <c r="B4" s="37"/>
      <c r="C4" s="37"/>
      <c r="D4" s="37"/>
      <c r="E4" s="37"/>
      <c r="F4" s="37"/>
      <c r="V4" s="26" t="s">
        <v>124</v>
      </c>
      <c r="W4" s="18">
        <f>B131</f>
        <v>575976</v>
      </c>
      <c r="X4" s="18">
        <f>B133</f>
        <v>212041</v>
      </c>
    </row>
    <row r="5" spans="1:25" ht="15.75" customHeight="1" x14ac:dyDescent="0.2">
      <c r="A5" s="1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V5" s="26" t="s">
        <v>125</v>
      </c>
      <c r="W5" s="18">
        <f>C131</f>
        <v>640290</v>
      </c>
      <c r="X5" s="18">
        <f>C133</f>
        <v>255622</v>
      </c>
    </row>
    <row r="6" spans="1:25" x14ac:dyDescent="0.2">
      <c r="A6" s="38" t="s">
        <v>7</v>
      </c>
      <c r="B6" s="38"/>
      <c r="C6" s="38"/>
      <c r="D6" s="38"/>
      <c r="E6" s="38"/>
      <c r="F6" s="38"/>
      <c r="V6" s="26" t="s">
        <v>126</v>
      </c>
      <c r="W6" s="18">
        <f>D131</f>
        <v>655310</v>
      </c>
      <c r="X6" s="18">
        <f>D133</f>
        <v>291845</v>
      </c>
    </row>
    <row r="7" spans="1:25" x14ac:dyDescent="0.2">
      <c r="A7" s="38" t="s">
        <v>8</v>
      </c>
      <c r="B7" s="38"/>
      <c r="C7" s="38"/>
      <c r="D7" s="38"/>
      <c r="E7" s="38"/>
      <c r="F7" s="38"/>
      <c r="V7" s="26" t="s">
        <v>127</v>
      </c>
      <c r="W7" s="18">
        <f>E131</f>
        <v>797546</v>
      </c>
      <c r="X7" s="18">
        <f>E133</f>
        <v>329380</v>
      </c>
    </row>
    <row r="8" spans="1:25" x14ac:dyDescent="0.2">
      <c r="A8" s="3" t="s">
        <v>9</v>
      </c>
      <c r="B8" s="4" t="s">
        <v>10</v>
      </c>
      <c r="C8" s="5">
        <v>133751</v>
      </c>
      <c r="D8" s="5">
        <v>124113</v>
      </c>
      <c r="E8" s="6">
        <f>C8-D8</f>
        <v>9638</v>
      </c>
      <c r="F8" s="7">
        <f>IFERROR(E8/ABS(D8),"n.s.")</f>
        <v>7.7655040165010916E-2</v>
      </c>
      <c r="V8" s="26" t="s">
        <v>128</v>
      </c>
      <c r="W8" s="18">
        <f>F131</f>
        <v>841669</v>
      </c>
      <c r="X8" s="18">
        <f>F133</f>
        <v>362731</v>
      </c>
    </row>
    <row r="9" spans="1:25" x14ac:dyDescent="0.2">
      <c r="A9" s="3" t="s">
        <v>11</v>
      </c>
      <c r="B9" s="4" t="s">
        <v>12</v>
      </c>
      <c r="C9" s="5">
        <v>230170</v>
      </c>
      <c r="D9" s="5">
        <v>229289</v>
      </c>
      <c r="E9" s="6">
        <f t="shared" ref="E9:E15" si="0">C9-D9</f>
        <v>881</v>
      </c>
      <c r="F9" s="7">
        <f t="shared" ref="F9:F15" si="1">IFERROR(E9/ABS(D9),"n.s.")</f>
        <v>3.8423125400695191E-3</v>
      </c>
    </row>
    <row r="10" spans="1:25" x14ac:dyDescent="0.2">
      <c r="A10" s="3" t="s">
        <v>13</v>
      </c>
      <c r="B10" s="4" t="s">
        <v>14</v>
      </c>
      <c r="C10" s="5">
        <v>113611</v>
      </c>
      <c r="D10" s="5">
        <v>110080</v>
      </c>
      <c r="E10" s="6">
        <f t="shared" si="0"/>
        <v>3531</v>
      </c>
      <c r="F10" s="7">
        <f t="shared" si="1"/>
        <v>3.2076671511627908E-2</v>
      </c>
      <c r="V10" s="26" t="s">
        <v>268</v>
      </c>
    </row>
    <row r="11" spans="1:25" x14ac:dyDescent="0.2">
      <c r="A11" s="3" t="s">
        <v>15</v>
      </c>
      <c r="B11" s="4" t="s">
        <v>16</v>
      </c>
      <c r="C11" s="5">
        <v>38671</v>
      </c>
      <c r="D11" s="5">
        <v>24</v>
      </c>
      <c r="E11" s="6">
        <f t="shared" si="0"/>
        <v>38647</v>
      </c>
      <c r="F11" s="7">
        <f t="shared" si="1"/>
        <v>1610.2916666666667</v>
      </c>
      <c r="V11" s="26" t="s">
        <v>131</v>
      </c>
      <c r="W11" s="26" t="s">
        <v>133</v>
      </c>
      <c r="X11" s="26" t="s">
        <v>134</v>
      </c>
      <c r="Y11" s="26" t="s">
        <v>132</v>
      </c>
    </row>
    <row r="12" spans="1:25" x14ac:dyDescent="0.2">
      <c r="A12" s="3" t="s">
        <v>17</v>
      </c>
      <c r="B12" s="4" t="s">
        <v>16</v>
      </c>
      <c r="C12" s="5">
        <v>89</v>
      </c>
      <c r="D12" s="5">
        <v>89</v>
      </c>
      <c r="E12" s="6">
        <f t="shared" si="0"/>
        <v>0</v>
      </c>
      <c r="F12" s="7">
        <f t="shared" si="1"/>
        <v>0</v>
      </c>
      <c r="V12" s="26" t="s">
        <v>127</v>
      </c>
      <c r="W12" s="18">
        <f>D96</f>
        <v>247514</v>
      </c>
      <c r="X12" s="18">
        <f>D105</f>
        <v>220650</v>
      </c>
      <c r="Y12" s="18">
        <f>D108</f>
        <v>329380</v>
      </c>
    </row>
    <row r="13" spans="1:25" x14ac:dyDescent="0.2">
      <c r="A13" s="3" t="s">
        <v>18</v>
      </c>
      <c r="B13" s="4" t="s">
        <v>19</v>
      </c>
      <c r="C13" s="5">
        <v>1064</v>
      </c>
      <c r="D13" s="5">
        <v>1374</v>
      </c>
      <c r="E13" s="6">
        <f t="shared" si="0"/>
        <v>-310</v>
      </c>
      <c r="F13" s="7">
        <f t="shared" si="1"/>
        <v>-0.22561863173216884</v>
      </c>
      <c r="V13" s="26" t="s">
        <v>128</v>
      </c>
      <c r="W13" s="18">
        <f>C96</f>
        <v>187427</v>
      </c>
      <c r="X13" s="18">
        <f>C105</f>
        <v>291510</v>
      </c>
      <c r="Y13" s="18">
        <f>C108</f>
        <v>362731</v>
      </c>
    </row>
    <row r="14" spans="1:25" x14ac:dyDescent="0.2">
      <c r="A14" s="3" t="s">
        <v>20</v>
      </c>
      <c r="B14" s="4" t="s">
        <v>21</v>
      </c>
      <c r="C14" s="5">
        <v>26035</v>
      </c>
      <c r="D14" s="5">
        <v>20366</v>
      </c>
      <c r="E14" s="6">
        <f t="shared" si="0"/>
        <v>5669</v>
      </c>
      <c r="F14" s="7">
        <f t="shared" si="1"/>
        <v>0.27835608366885989</v>
      </c>
    </row>
    <row r="15" spans="1:25" x14ac:dyDescent="0.2">
      <c r="A15" s="8" t="s">
        <v>22</v>
      </c>
      <c r="B15" s="9"/>
      <c r="C15" s="10">
        <f>SUM(C8:C14)</f>
        <v>543391</v>
      </c>
      <c r="D15" s="10">
        <f>SUM(D8:D14)</f>
        <v>485335</v>
      </c>
      <c r="E15" s="10">
        <f t="shared" si="0"/>
        <v>58056</v>
      </c>
      <c r="F15" s="11">
        <f t="shared" si="1"/>
        <v>0.11962046833630378</v>
      </c>
    </row>
    <row r="16" spans="1:25" ht="6" customHeight="1" x14ac:dyDescent="0.2"/>
    <row r="17" spans="1:6" x14ac:dyDescent="0.2">
      <c r="A17" s="38" t="s">
        <v>23</v>
      </c>
      <c r="B17" s="38"/>
      <c r="C17" s="38"/>
      <c r="D17" s="38"/>
      <c r="E17" s="38"/>
      <c r="F17" s="38"/>
    </row>
    <row r="18" spans="1:6" x14ac:dyDescent="0.2">
      <c r="A18" s="3" t="s">
        <v>24</v>
      </c>
      <c r="B18" s="4" t="s">
        <v>25</v>
      </c>
      <c r="C18" s="5">
        <v>88484</v>
      </c>
      <c r="D18" s="5">
        <v>89686</v>
      </c>
      <c r="E18" s="6">
        <f t="shared" ref="E18:E24" si="2">C18-D18</f>
        <v>-1202</v>
      </c>
      <c r="F18" s="7">
        <f t="shared" ref="F18:F24" si="3">IFERROR(E18/ABS(D18),"n.s.")</f>
        <v>-1.3402314742546217E-2</v>
      </c>
    </row>
    <row r="19" spans="1:6" x14ac:dyDescent="0.2">
      <c r="A19" s="3" t="s">
        <v>26</v>
      </c>
      <c r="B19" s="4" t="s">
        <v>27</v>
      </c>
      <c r="C19" s="5">
        <v>141729</v>
      </c>
      <c r="D19" s="5">
        <v>148997</v>
      </c>
      <c r="E19" s="6">
        <f t="shared" si="2"/>
        <v>-7268</v>
      </c>
      <c r="F19" s="7">
        <f t="shared" si="3"/>
        <v>-4.8779505627630088E-2</v>
      </c>
    </row>
    <row r="20" spans="1:6" x14ac:dyDescent="0.2">
      <c r="A20" s="3" t="s">
        <v>28</v>
      </c>
      <c r="B20" s="4" t="s">
        <v>29</v>
      </c>
      <c r="C20" s="5">
        <v>15581</v>
      </c>
      <c r="D20" s="5">
        <v>5624</v>
      </c>
      <c r="E20" s="6">
        <f t="shared" si="2"/>
        <v>9957</v>
      </c>
      <c r="F20" s="7">
        <f t="shared" si="3"/>
        <v>1.770448079658606</v>
      </c>
    </row>
    <row r="21" spans="1:6" x14ac:dyDescent="0.2">
      <c r="A21" s="3" t="s">
        <v>30</v>
      </c>
      <c r="B21" s="4" t="s">
        <v>31</v>
      </c>
      <c r="C21" s="5">
        <v>15281</v>
      </c>
      <c r="D21" s="5">
        <v>19087</v>
      </c>
      <c r="E21" s="6">
        <f t="shared" si="2"/>
        <v>-3806</v>
      </c>
      <c r="F21" s="7">
        <f t="shared" si="3"/>
        <v>-0.1994027348457065</v>
      </c>
    </row>
    <row r="22" spans="1:6" x14ac:dyDescent="0.2">
      <c r="A22" s="3" t="s">
        <v>32</v>
      </c>
      <c r="B22" s="4" t="s">
        <v>33</v>
      </c>
      <c r="C22" s="5">
        <v>188</v>
      </c>
      <c r="D22" s="5">
        <v>1162</v>
      </c>
      <c r="E22" s="6">
        <f t="shared" si="2"/>
        <v>-974</v>
      </c>
      <c r="F22" s="7">
        <f t="shared" si="3"/>
        <v>-0.83820998278829606</v>
      </c>
    </row>
    <row r="23" spans="1:6" x14ac:dyDescent="0.2">
      <c r="A23" s="3" t="s">
        <v>34</v>
      </c>
      <c r="B23" s="4" t="s">
        <v>35</v>
      </c>
      <c r="C23" s="5">
        <v>37015</v>
      </c>
      <c r="D23" s="5">
        <v>47655</v>
      </c>
      <c r="E23" s="6">
        <f t="shared" si="2"/>
        <v>-10640</v>
      </c>
      <c r="F23" s="7">
        <f t="shared" si="3"/>
        <v>-0.22327143007029693</v>
      </c>
    </row>
    <row r="24" spans="1:6" x14ac:dyDescent="0.2">
      <c r="A24" s="8" t="s">
        <v>36</v>
      </c>
      <c r="B24" s="9"/>
      <c r="C24" s="10">
        <f>SUM(C18:C23)</f>
        <v>298278</v>
      </c>
      <c r="D24" s="10">
        <f>SUM(D18:D23)</f>
        <v>312211</v>
      </c>
      <c r="E24" s="10">
        <f t="shared" si="2"/>
        <v>-13933</v>
      </c>
      <c r="F24" s="11">
        <f t="shared" si="3"/>
        <v>-4.4626870930236283E-2</v>
      </c>
    </row>
    <row r="25" spans="1:6" ht="6" customHeight="1" x14ac:dyDescent="0.2"/>
    <row r="26" spans="1:6" x14ac:dyDescent="0.2">
      <c r="A26" s="12" t="s">
        <v>37</v>
      </c>
      <c r="B26" s="13"/>
      <c r="C26" s="14">
        <f>C15+C24</f>
        <v>841669</v>
      </c>
      <c r="D26" s="14">
        <f>D15+D24</f>
        <v>797546</v>
      </c>
      <c r="E26" s="14">
        <f>C26-D26</f>
        <v>44123</v>
      </c>
      <c r="F26" s="15">
        <f>IFERROR(E26/ABS(D26),"n.s.")</f>
        <v>5.5323454697283919E-2</v>
      </c>
    </row>
    <row r="28" spans="1:6" x14ac:dyDescent="0.2">
      <c r="A28" s="38" t="s">
        <v>38</v>
      </c>
      <c r="B28" s="38"/>
      <c r="C28" s="38"/>
      <c r="D28" s="38"/>
      <c r="E28" s="38"/>
      <c r="F28" s="38"/>
    </row>
    <row r="29" spans="1:6" x14ac:dyDescent="0.2">
      <c r="A29" s="38" t="s">
        <v>39</v>
      </c>
      <c r="B29" s="38"/>
      <c r="C29" s="38"/>
      <c r="D29" s="38"/>
      <c r="E29" s="38"/>
      <c r="F29" s="38"/>
    </row>
    <row r="30" spans="1:6" x14ac:dyDescent="0.2">
      <c r="A30" s="3" t="s">
        <v>40</v>
      </c>
      <c r="B30" s="4"/>
      <c r="C30" s="5">
        <v>36120</v>
      </c>
      <c r="D30" s="5">
        <v>36120</v>
      </c>
      <c r="E30" s="6">
        <f t="shared" ref="E30:E41" si="4">C30-D30</f>
        <v>0</v>
      </c>
      <c r="F30" s="7">
        <f t="shared" ref="F30:F41" si="5">IFERROR(E30/ABS(D30),"n.s.")</f>
        <v>0</v>
      </c>
    </row>
    <row r="31" spans="1:6" x14ac:dyDescent="0.2">
      <c r="A31" s="3" t="s">
        <v>41</v>
      </c>
      <c r="B31" s="4"/>
      <c r="C31" s="5">
        <v>0</v>
      </c>
      <c r="D31" s="5">
        <v>0</v>
      </c>
      <c r="E31" s="6">
        <f t="shared" si="4"/>
        <v>0</v>
      </c>
      <c r="F31" s="7" t="str">
        <f t="shared" si="5"/>
        <v>n.s.</v>
      </c>
    </row>
    <row r="32" spans="1:6" x14ac:dyDescent="0.2">
      <c r="A32" s="3" t="s">
        <v>42</v>
      </c>
      <c r="B32" s="4"/>
      <c r="C32" s="5">
        <v>0</v>
      </c>
      <c r="D32" s="5">
        <v>0</v>
      </c>
      <c r="E32" s="6">
        <f t="shared" si="4"/>
        <v>0</v>
      </c>
      <c r="F32" s="7" t="str">
        <f t="shared" si="5"/>
        <v>n.s.</v>
      </c>
    </row>
    <row r="33" spans="1:6" x14ac:dyDescent="0.2">
      <c r="A33" s="3" t="s">
        <v>43</v>
      </c>
      <c r="B33" s="4"/>
      <c r="C33" s="5">
        <v>38648</v>
      </c>
      <c r="D33" s="5">
        <v>0</v>
      </c>
      <c r="E33" s="6">
        <f t="shared" si="4"/>
        <v>38648</v>
      </c>
      <c r="F33" s="7" t="str">
        <f t="shared" si="5"/>
        <v>n.s.</v>
      </c>
    </row>
    <row r="34" spans="1:6" x14ac:dyDescent="0.2">
      <c r="A34" s="3" t="s">
        <v>44</v>
      </c>
      <c r="B34" s="4"/>
      <c r="C34" s="5">
        <v>-873</v>
      </c>
      <c r="D34" s="5">
        <v>-692</v>
      </c>
      <c r="E34" s="6">
        <f t="shared" si="4"/>
        <v>-181</v>
      </c>
      <c r="F34" s="7">
        <f t="shared" si="5"/>
        <v>-0.26156069364161849</v>
      </c>
    </row>
    <row r="35" spans="1:6" x14ac:dyDescent="0.2">
      <c r="A35" s="3" t="s">
        <v>45</v>
      </c>
      <c r="B35" s="4"/>
      <c r="C35" s="5">
        <v>317</v>
      </c>
      <c r="D35" s="5">
        <v>2323</v>
      </c>
      <c r="E35" s="6">
        <f t="shared" si="4"/>
        <v>-2006</v>
      </c>
      <c r="F35" s="7">
        <f t="shared" si="5"/>
        <v>-0.86353852776582007</v>
      </c>
    </row>
    <row r="36" spans="1:6" x14ac:dyDescent="0.2">
      <c r="A36" s="3" t="s">
        <v>46</v>
      </c>
      <c r="B36" s="4"/>
      <c r="C36" s="5">
        <v>8194</v>
      </c>
      <c r="D36" s="5">
        <v>7786</v>
      </c>
      <c r="E36" s="6">
        <f t="shared" si="4"/>
        <v>408</v>
      </c>
      <c r="F36" s="7">
        <f t="shared" si="5"/>
        <v>5.2401746724890827E-2</v>
      </c>
    </row>
    <row r="37" spans="1:6" x14ac:dyDescent="0.2">
      <c r="A37" s="3" t="s">
        <v>47</v>
      </c>
      <c r="B37" s="4"/>
      <c r="C37" s="5">
        <v>8953</v>
      </c>
      <c r="D37" s="5">
        <v>8953</v>
      </c>
      <c r="E37" s="6">
        <f t="shared" si="4"/>
        <v>0</v>
      </c>
      <c r="F37" s="7">
        <f t="shared" si="5"/>
        <v>0</v>
      </c>
    </row>
    <row r="38" spans="1:6" x14ac:dyDescent="0.2">
      <c r="A38" s="3" t="s">
        <v>48</v>
      </c>
      <c r="B38" s="4"/>
      <c r="C38" s="5">
        <v>231717</v>
      </c>
      <c r="D38" s="5">
        <v>232774</v>
      </c>
      <c r="E38" s="6">
        <f t="shared" si="4"/>
        <v>-1057</v>
      </c>
      <c r="F38" s="7">
        <f t="shared" si="5"/>
        <v>-4.5408851504033952E-3</v>
      </c>
    </row>
    <row r="39" spans="1:6" x14ac:dyDescent="0.2">
      <c r="A39" s="3" t="s">
        <v>49</v>
      </c>
      <c r="B39" s="4"/>
      <c r="C39" s="16">
        <f>'Conto Economico'!C18</f>
        <v>39655</v>
      </c>
      <c r="D39" s="16">
        <f>'Conto Economico'!D18</f>
        <v>42116</v>
      </c>
      <c r="E39" s="6">
        <f t="shared" si="4"/>
        <v>-2461</v>
      </c>
      <c r="F39" s="7">
        <f t="shared" si="5"/>
        <v>-5.8433849368411055E-2</v>
      </c>
    </row>
    <row r="40" spans="1:6" x14ac:dyDescent="0.2">
      <c r="A40" s="3" t="s">
        <v>50</v>
      </c>
      <c r="B40" s="4"/>
      <c r="C40" s="5">
        <v>0</v>
      </c>
      <c r="D40" s="5">
        <v>0</v>
      </c>
      <c r="E40" s="6">
        <f t="shared" si="4"/>
        <v>0</v>
      </c>
      <c r="F40" s="7" t="str">
        <f t="shared" si="5"/>
        <v>n.s.</v>
      </c>
    </row>
    <row r="41" spans="1:6" x14ac:dyDescent="0.2">
      <c r="A41" s="8" t="s">
        <v>51</v>
      </c>
      <c r="B41" s="9" t="s">
        <v>52</v>
      </c>
      <c r="C41" s="10">
        <f>SUM(C30:C40)</f>
        <v>362731</v>
      </c>
      <c r="D41" s="10">
        <f>SUM(D30:D40)</f>
        <v>329380</v>
      </c>
      <c r="E41" s="10">
        <f t="shared" si="4"/>
        <v>33351</v>
      </c>
      <c r="F41" s="11">
        <f t="shared" si="5"/>
        <v>0.10125387090898051</v>
      </c>
    </row>
    <row r="42" spans="1:6" ht="6" customHeight="1" x14ac:dyDescent="0.2"/>
    <row r="43" spans="1:6" x14ac:dyDescent="0.2">
      <c r="A43" s="38" t="s">
        <v>53</v>
      </c>
      <c r="B43" s="38"/>
      <c r="C43" s="38"/>
      <c r="D43" s="38"/>
      <c r="E43" s="38"/>
      <c r="F43" s="38"/>
    </row>
    <row r="44" spans="1:6" x14ac:dyDescent="0.2">
      <c r="A44" s="3" t="s">
        <v>54</v>
      </c>
      <c r="B44" s="4" t="s">
        <v>55</v>
      </c>
      <c r="C44" s="5">
        <v>273941</v>
      </c>
      <c r="D44" s="5">
        <v>203334</v>
      </c>
      <c r="E44" s="6">
        <f t="shared" ref="E44:E50" si="6">C44-D44</f>
        <v>70607</v>
      </c>
      <c r="F44" s="7">
        <f t="shared" ref="F44:F50" si="7">IFERROR(E44/ABS(D44),"n.s.")</f>
        <v>0.34724640247081157</v>
      </c>
    </row>
    <row r="45" spans="1:6" x14ac:dyDescent="0.2">
      <c r="A45" s="3" t="s">
        <v>56</v>
      </c>
      <c r="B45" s="4" t="s">
        <v>57</v>
      </c>
      <c r="C45" s="5">
        <v>7527</v>
      </c>
      <c r="D45" s="5">
        <v>8222</v>
      </c>
      <c r="E45" s="6">
        <f t="shared" si="6"/>
        <v>-695</v>
      </c>
      <c r="F45" s="7">
        <f t="shared" si="7"/>
        <v>-8.4529311603016299E-2</v>
      </c>
    </row>
    <row r="46" spans="1:6" x14ac:dyDescent="0.2">
      <c r="A46" s="3" t="s">
        <v>58</v>
      </c>
      <c r="B46" s="4" t="s">
        <v>59</v>
      </c>
      <c r="C46" s="5">
        <v>4813</v>
      </c>
      <c r="D46" s="5">
        <v>2957</v>
      </c>
      <c r="E46" s="6">
        <f t="shared" si="6"/>
        <v>1856</v>
      </c>
      <c r="F46" s="7">
        <f t="shared" si="7"/>
        <v>0.62766317213391953</v>
      </c>
    </row>
    <row r="47" spans="1:6" x14ac:dyDescent="0.2">
      <c r="A47" s="3" t="s">
        <v>60</v>
      </c>
      <c r="B47" s="4" t="s">
        <v>61</v>
      </c>
      <c r="C47" s="5">
        <v>3930</v>
      </c>
      <c r="D47" s="5">
        <v>3767</v>
      </c>
      <c r="E47" s="6">
        <f t="shared" si="6"/>
        <v>163</v>
      </c>
      <c r="F47" s="7">
        <f t="shared" si="7"/>
        <v>4.3270507034775682E-2</v>
      </c>
    </row>
    <row r="48" spans="1:6" x14ac:dyDescent="0.2">
      <c r="A48" s="3" t="s">
        <v>32</v>
      </c>
      <c r="B48" s="4" t="s">
        <v>62</v>
      </c>
      <c r="C48" s="5">
        <v>1299</v>
      </c>
      <c r="D48" s="5">
        <v>2370</v>
      </c>
      <c r="E48" s="6">
        <f t="shared" si="6"/>
        <v>-1071</v>
      </c>
      <c r="F48" s="7">
        <f t="shared" si="7"/>
        <v>-0.45189873417721521</v>
      </c>
    </row>
    <row r="49" spans="1:6" x14ac:dyDescent="0.2">
      <c r="A49" s="3" t="s">
        <v>63</v>
      </c>
      <c r="B49" s="4" t="s">
        <v>64</v>
      </c>
      <c r="C49" s="5">
        <v>0</v>
      </c>
      <c r="D49" s="5">
        <v>0</v>
      </c>
      <c r="E49" s="6">
        <f t="shared" si="6"/>
        <v>0</v>
      </c>
      <c r="F49" s="7" t="str">
        <f t="shared" si="7"/>
        <v>n.s.</v>
      </c>
    </row>
    <row r="50" spans="1:6" x14ac:dyDescent="0.2">
      <c r="A50" s="8" t="s">
        <v>65</v>
      </c>
      <c r="B50" s="9"/>
      <c r="C50" s="10">
        <f>SUM(C44:C49)</f>
        <v>291510</v>
      </c>
      <c r="D50" s="10">
        <f>SUM(D44:D49)</f>
        <v>220650</v>
      </c>
      <c r="E50" s="10">
        <f t="shared" si="6"/>
        <v>70860</v>
      </c>
      <c r="F50" s="11">
        <f t="shared" si="7"/>
        <v>0.32114208021753909</v>
      </c>
    </row>
    <row r="51" spans="1:6" ht="6" customHeight="1" x14ac:dyDescent="0.2"/>
    <row r="52" spans="1:6" x14ac:dyDescent="0.2">
      <c r="A52" s="38" t="s">
        <v>66</v>
      </c>
      <c r="B52" s="38"/>
      <c r="C52" s="38"/>
      <c r="D52" s="38"/>
      <c r="E52" s="38"/>
      <c r="F52" s="38"/>
    </row>
    <row r="53" spans="1:6" x14ac:dyDescent="0.2">
      <c r="A53" s="3" t="s">
        <v>67</v>
      </c>
      <c r="B53" s="4" t="s">
        <v>68</v>
      </c>
      <c r="C53" s="5">
        <v>59197</v>
      </c>
      <c r="D53" s="5">
        <v>68801</v>
      </c>
      <c r="E53" s="6">
        <f t="shared" ref="E53:E59" si="8">C53-D53</f>
        <v>-9604</v>
      </c>
      <c r="F53" s="7">
        <f t="shared" ref="F53:F59" si="9">IFERROR(E53/ABS(D53),"n.s.")</f>
        <v>-0.13959099431694308</v>
      </c>
    </row>
    <row r="54" spans="1:6" x14ac:dyDescent="0.2">
      <c r="A54" s="3" t="s">
        <v>69</v>
      </c>
      <c r="B54" s="4" t="s">
        <v>70</v>
      </c>
      <c r="C54" s="5">
        <v>3908</v>
      </c>
      <c r="D54" s="5">
        <v>8177</v>
      </c>
      <c r="E54" s="6">
        <f t="shared" si="8"/>
        <v>-4269</v>
      </c>
      <c r="F54" s="7">
        <f t="shared" si="9"/>
        <v>-0.52207411030940443</v>
      </c>
    </row>
    <row r="55" spans="1:6" x14ac:dyDescent="0.2">
      <c r="A55" s="3" t="s">
        <v>71</v>
      </c>
      <c r="B55" s="4" t="s">
        <v>72</v>
      </c>
      <c r="C55" s="5">
        <v>52335</v>
      </c>
      <c r="D55" s="5">
        <v>50817</v>
      </c>
      <c r="E55" s="6">
        <f t="shared" si="8"/>
        <v>1518</v>
      </c>
      <c r="F55" s="7">
        <f t="shared" si="9"/>
        <v>2.9871893264065176E-2</v>
      </c>
    </row>
    <row r="56" spans="1:6" x14ac:dyDescent="0.2">
      <c r="A56" s="3" t="s">
        <v>60</v>
      </c>
      <c r="B56" s="4" t="s">
        <v>73</v>
      </c>
      <c r="C56" s="5">
        <v>1100</v>
      </c>
      <c r="D56" s="5">
        <v>1400</v>
      </c>
      <c r="E56" s="6">
        <f t="shared" si="8"/>
        <v>-300</v>
      </c>
      <c r="F56" s="7">
        <f t="shared" si="9"/>
        <v>-0.21428571428571427</v>
      </c>
    </row>
    <row r="57" spans="1:6" x14ac:dyDescent="0.2">
      <c r="A57" s="3" t="s">
        <v>32</v>
      </c>
      <c r="B57" s="4" t="s">
        <v>74</v>
      </c>
      <c r="C57" s="5">
        <v>0</v>
      </c>
      <c r="D57" s="5">
        <v>0</v>
      </c>
      <c r="E57" s="6">
        <f t="shared" si="8"/>
        <v>0</v>
      </c>
      <c r="F57" s="7" t="str">
        <f t="shared" si="9"/>
        <v>n.s.</v>
      </c>
    </row>
    <row r="58" spans="1:6" x14ac:dyDescent="0.2">
      <c r="A58" s="3" t="s">
        <v>75</v>
      </c>
      <c r="B58" s="4" t="s">
        <v>76</v>
      </c>
      <c r="C58" s="5">
        <v>70887</v>
      </c>
      <c r="D58" s="5">
        <v>118319</v>
      </c>
      <c r="E58" s="6">
        <f t="shared" si="8"/>
        <v>-47432</v>
      </c>
      <c r="F58" s="7">
        <f t="shared" si="9"/>
        <v>-0.40088236039858349</v>
      </c>
    </row>
    <row r="59" spans="1:6" x14ac:dyDescent="0.2">
      <c r="A59" s="8" t="s">
        <v>77</v>
      </c>
      <c r="B59" s="9"/>
      <c r="C59" s="10">
        <f>SUM(C53:C58)</f>
        <v>187427</v>
      </c>
      <c r="D59" s="10">
        <f>SUM(D53:D58)</f>
        <v>247514</v>
      </c>
      <c r="E59" s="10">
        <f t="shared" si="8"/>
        <v>-60087</v>
      </c>
      <c r="F59" s="11">
        <f t="shared" si="9"/>
        <v>-0.24276202558239129</v>
      </c>
    </row>
    <row r="60" spans="1:6" ht="6" customHeight="1" x14ac:dyDescent="0.2"/>
    <row r="61" spans="1:6" x14ac:dyDescent="0.2">
      <c r="A61" s="12" t="s">
        <v>78</v>
      </c>
      <c r="B61" s="13"/>
      <c r="C61" s="14">
        <f>C41+C50+C59</f>
        <v>841668</v>
      </c>
      <c r="D61" s="14">
        <f>D41+D50+D59</f>
        <v>797544</v>
      </c>
      <c r="E61" s="14">
        <f>C61-D61</f>
        <v>44124</v>
      </c>
      <c r="F61" s="15">
        <f>IFERROR(E61/ABS(D61),"n.s.")</f>
        <v>5.5324847281153139E-2</v>
      </c>
    </row>
    <row r="62" spans="1:6" x14ac:dyDescent="0.2">
      <c r="A62" s="17" t="s">
        <v>79</v>
      </c>
      <c r="B62" s="4"/>
      <c r="C62" s="18">
        <f>C26-C61</f>
        <v>1</v>
      </c>
      <c r="D62" s="18">
        <f>D26-D61</f>
        <v>2</v>
      </c>
    </row>
    <row r="64" spans="1:6" ht="38" customHeight="1" x14ac:dyDescent="0.2">
      <c r="A64" s="39" t="s">
        <v>80</v>
      </c>
      <c r="B64" s="39"/>
      <c r="C64" s="39"/>
      <c r="D64" s="39"/>
      <c r="E64" s="39"/>
      <c r="F64" s="39"/>
    </row>
    <row r="67" spans="1:6" ht="19.5" customHeight="1" x14ac:dyDescent="0.2">
      <c r="A67" s="37" t="s">
        <v>81</v>
      </c>
      <c r="B67" s="37"/>
      <c r="C67" s="37"/>
      <c r="D67" s="37"/>
      <c r="E67" s="37"/>
      <c r="F67" s="37"/>
    </row>
    <row r="68" spans="1:6" ht="25.5" customHeight="1" x14ac:dyDescent="0.2">
      <c r="A68" s="39"/>
      <c r="B68" s="39"/>
      <c r="C68" s="39"/>
      <c r="D68" s="39"/>
      <c r="E68" s="39"/>
      <c r="F68" s="39"/>
    </row>
    <row r="69" spans="1:6" ht="15.75" customHeight="1" x14ac:dyDescent="0.2">
      <c r="A69" s="1" t="s">
        <v>1</v>
      </c>
      <c r="B69" s="2" t="s">
        <v>2</v>
      </c>
      <c r="C69" s="2" t="s">
        <v>3</v>
      </c>
      <c r="D69" s="2" t="s">
        <v>4</v>
      </c>
      <c r="E69" s="2" t="s">
        <v>5</v>
      </c>
      <c r="F69" s="2" t="s">
        <v>6</v>
      </c>
    </row>
    <row r="70" spans="1:6" x14ac:dyDescent="0.2">
      <c r="A70" s="38" t="s">
        <v>82</v>
      </c>
      <c r="B70" s="38"/>
      <c r="C70" s="38"/>
      <c r="D70" s="38"/>
      <c r="E70" s="38"/>
      <c r="F70" s="38"/>
    </row>
    <row r="71" spans="1:6" x14ac:dyDescent="0.2">
      <c r="A71" s="3" t="s">
        <v>83</v>
      </c>
      <c r="B71" s="4"/>
      <c r="C71" s="6">
        <f>C23</f>
        <v>37015</v>
      </c>
      <c r="D71" s="6">
        <f>D23</f>
        <v>47655</v>
      </c>
      <c r="E71" s="6">
        <f>C71-D71</f>
        <v>-10640</v>
      </c>
      <c r="F71" s="7">
        <f>IFERROR(E71/ABS(D71),"n.s.")</f>
        <v>-0.22327143007029693</v>
      </c>
    </row>
    <row r="72" spans="1:6" x14ac:dyDescent="0.2">
      <c r="A72" s="38" t="s">
        <v>84</v>
      </c>
      <c r="B72" s="38"/>
      <c r="C72" s="38"/>
      <c r="D72" s="38"/>
      <c r="E72" s="38"/>
      <c r="F72" s="38"/>
    </row>
    <row r="73" spans="1:6" x14ac:dyDescent="0.2">
      <c r="A73" s="3" t="s">
        <v>26</v>
      </c>
      <c r="B73" s="4"/>
      <c r="C73" s="6">
        <f t="shared" ref="C73:D76" si="10">C19</f>
        <v>141729</v>
      </c>
      <c r="D73" s="6">
        <f t="shared" si="10"/>
        <v>148997</v>
      </c>
      <c r="E73" s="6">
        <f t="shared" ref="E73:E79" si="11">C73-D73</f>
        <v>-7268</v>
      </c>
      <c r="F73" s="7">
        <f t="shared" ref="F73:F79" si="12">IFERROR(E73/ABS(D73),"n.s.")</f>
        <v>-4.8779505627630088E-2</v>
      </c>
    </row>
    <row r="74" spans="1:6" x14ac:dyDescent="0.2">
      <c r="A74" s="3" t="s">
        <v>28</v>
      </c>
      <c r="B74" s="4"/>
      <c r="C74" s="6">
        <f t="shared" si="10"/>
        <v>15581</v>
      </c>
      <c r="D74" s="6">
        <f t="shared" si="10"/>
        <v>5624</v>
      </c>
      <c r="E74" s="6">
        <f t="shared" si="11"/>
        <v>9957</v>
      </c>
      <c r="F74" s="7">
        <f t="shared" si="12"/>
        <v>1.770448079658606</v>
      </c>
    </row>
    <row r="75" spans="1:6" x14ac:dyDescent="0.2">
      <c r="A75" s="3" t="s">
        <v>30</v>
      </c>
      <c r="B75" s="4"/>
      <c r="C75" s="6">
        <f t="shared" si="10"/>
        <v>15281</v>
      </c>
      <c r="D75" s="6">
        <f t="shared" si="10"/>
        <v>19087</v>
      </c>
      <c r="E75" s="6">
        <f t="shared" si="11"/>
        <v>-3806</v>
      </c>
      <c r="F75" s="7">
        <f t="shared" si="12"/>
        <v>-0.1994027348457065</v>
      </c>
    </row>
    <row r="76" spans="1:6" x14ac:dyDescent="0.2">
      <c r="A76" s="3" t="s">
        <v>85</v>
      </c>
      <c r="B76" s="4"/>
      <c r="C76" s="6">
        <f t="shared" si="10"/>
        <v>188</v>
      </c>
      <c r="D76" s="6">
        <f t="shared" si="10"/>
        <v>1162</v>
      </c>
      <c r="E76" s="6">
        <f t="shared" si="11"/>
        <v>-974</v>
      </c>
      <c r="F76" s="7">
        <f t="shared" si="12"/>
        <v>-0.83820998278829606</v>
      </c>
    </row>
    <row r="77" spans="1:6" x14ac:dyDescent="0.2">
      <c r="A77" s="8" t="s">
        <v>86</v>
      </c>
      <c r="B77" s="9"/>
      <c r="C77" s="10">
        <f>SUM(C73:C76)</f>
        <v>172779</v>
      </c>
      <c r="D77" s="10">
        <f>SUM(D73:D76)</f>
        <v>174870</v>
      </c>
      <c r="E77" s="10">
        <f t="shared" si="11"/>
        <v>-2091</v>
      </c>
      <c r="F77" s="11">
        <f t="shared" si="12"/>
        <v>-1.1957454108766512E-2</v>
      </c>
    </row>
    <row r="78" spans="1:6" x14ac:dyDescent="0.2">
      <c r="A78" s="3" t="s">
        <v>87</v>
      </c>
      <c r="B78" s="4"/>
      <c r="C78" s="6">
        <f>C18</f>
        <v>88484</v>
      </c>
      <c r="D78" s="6">
        <f>D18</f>
        <v>89686</v>
      </c>
      <c r="E78" s="6">
        <f t="shared" si="11"/>
        <v>-1202</v>
      </c>
      <c r="F78" s="7">
        <f t="shared" si="12"/>
        <v>-1.3402314742546217E-2</v>
      </c>
    </row>
    <row r="79" spans="1:6" x14ac:dyDescent="0.2">
      <c r="A79" s="8" t="s">
        <v>88</v>
      </c>
      <c r="B79" s="9"/>
      <c r="C79" s="10">
        <f>C71+C77+C78</f>
        <v>298278</v>
      </c>
      <c r="D79" s="10">
        <f>D71+D77+D78</f>
        <v>312211</v>
      </c>
      <c r="E79" s="10">
        <f t="shared" si="11"/>
        <v>-13933</v>
      </c>
      <c r="F79" s="11">
        <f t="shared" si="12"/>
        <v>-4.4626870930236283E-2</v>
      </c>
    </row>
    <row r="80" spans="1:6" ht="6" customHeight="1" x14ac:dyDescent="0.2"/>
    <row r="81" spans="1:6" x14ac:dyDescent="0.2">
      <c r="A81" s="38" t="s">
        <v>89</v>
      </c>
      <c r="B81" s="38"/>
      <c r="C81" s="38"/>
      <c r="D81" s="38"/>
      <c r="E81" s="38"/>
      <c r="F81" s="38"/>
    </row>
    <row r="82" spans="1:6" x14ac:dyDescent="0.2">
      <c r="A82" s="3" t="s">
        <v>90</v>
      </c>
      <c r="B82" s="4"/>
      <c r="C82" s="6">
        <f>C9+C10</f>
        <v>343781</v>
      </c>
      <c r="D82" s="6">
        <f>D9+D10</f>
        <v>339369</v>
      </c>
      <c r="E82" s="6">
        <f>C82-D82</f>
        <v>4412</v>
      </c>
      <c r="F82" s="7">
        <f>IFERROR(E82/ABS(D82),"n.s.")</f>
        <v>1.3000598168954736E-2</v>
      </c>
    </row>
    <row r="83" spans="1:6" x14ac:dyDescent="0.2">
      <c r="A83" s="3" t="s">
        <v>91</v>
      </c>
      <c r="B83" s="4"/>
      <c r="C83" s="6">
        <f>C8</f>
        <v>133751</v>
      </c>
      <c r="D83" s="6">
        <f>D8</f>
        <v>124113</v>
      </c>
      <c r="E83" s="6">
        <f>C83-D83</f>
        <v>9638</v>
      </c>
      <c r="F83" s="7">
        <f>IFERROR(E83/ABS(D83),"n.s.")</f>
        <v>7.7655040165010916E-2</v>
      </c>
    </row>
    <row r="84" spans="1:6" x14ac:dyDescent="0.2">
      <c r="A84" s="3" t="s">
        <v>92</v>
      </c>
      <c r="B84" s="4"/>
      <c r="C84" s="6">
        <f>C11+C12+C13+C14</f>
        <v>65859</v>
      </c>
      <c r="D84" s="6">
        <f>D11+D12+D13+D14</f>
        <v>21853</v>
      </c>
      <c r="E84" s="6">
        <f>C84-D84</f>
        <v>44006</v>
      </c>
      <c r="F84" s="7">
        <f>IFERROR(E84/ABS(D84),"n.s.")</f>
        <v>2.01372809225278</v>
      </c>
    </row>
    <row r="85" spans="1:6" x14ac:dyDescent="0.2">
      <c r="A85" s="8" t="s">
        <v>93</v>
      </c>
      <c r="B85" s="9"/>
      <c r="C85" s="10">
        <f>C82+C83+C84</f>
        <v>543391</v>
      </c>
      <c r="D85" s="10">
        <f>D82+D83+D84</f>
        <v>485335</v>
      </c>
      <c r="E85" s="10">
        <f>C85-D85</f>
        <v>58056</v>
      </c>
      <c r="F85" s="11">
        <f>IFERROR(E85/ABS(D85),"n.s.")</f>
        <v>0.11962046833630378</v>
      </c>
    </row>
    <row r="86" spans="1:6" x14ac:dyDescent="0.2">
      <c r="A86" s="8" t="s">
        <v>94</v>
      </c>
      <c r="B86" s="9"/>
      <c r="C86" s="19">
        <f>C79+C85</f>
        <v>841669</v>
      </c>
      <c r="D86" s="19">
        <f>D79+D85</f>
        <v>797546</v>
      </c>
      <c r="E86" s="19">
        <f>C86-D86</f>
        <v>44123</v>
      </c>
      <c r="F86" s="20">
        <f>IFERROR(E86/ABS(D86),"n.s.")</f>
        <v>5.5323454697283919E-2</v>
      </c>
    </row>
    <row r="88" spans="1:6" x14ac:dyDescent="0.2">
      <c r="A88" s="38" t="s">
        <v>95</v>
      </c>
      <c r="B88" s="38"/>
      <c r="C88" s="38"/>
      <c r="D88" s="38"/>
      <c r="E88" s="38"/>
      <c r="F88" s="38"/>
    </row>
    <row r="89" spans="1:6" x14ac:dyDescent="0.2">
      <c r="A89" s="38" t="s">
        <v>96</v>
      </c>
      <c r="B89" s="38"/>
      <c r="C89" s="38"/>
      <c r="D89" s="38"/>
      <c r="E89" s="38"/>
      <c r="F89" s="38"/>
    </row>
    <row r="90" spans="1:6" x14ac:dyDescent="0.2">
      <c r="A90" s="3" t="s">
        <v>97</v>
      </c>
      <c r="B90" s="4"/>
      <c r="C90" s="6">
        <f>C58</f>
        <v>70887</v>
      </c>
      <c r="D90" s="6">
        <f>D58</f>
        <v>118319</v>
      </c>
      <c r="E90" s="6">
        <f t="shared" ref="E90:E96" si="13">C90-D90</f>
        <v>-47432</v>
      </c>
      <c r="F90" s="7">
        <f t="shared" ref="F90:F96" si="14">IFERROR(E90/ABS(D90),"n.s.")</f>
        <v>-0.40088236039858349</v>
      </c>
    </row>
    <row r="91" spans="1:6" x14ac:dyDescent="0.2">
      <c r="A91" s="3" t="s">
        <v>67</v>
      </c>
      <c r="B91" s="4"/>
      <c r="C91" s="6">
        <f t="shared" ref="C91:D95" si="15">C53</f>
        <v>59197</v>
      </c>
      <c r="D91" s="6">
        <f t="shared" si="15"/>
        <v>68801</v>
      </c>
      <c r="E91" s="6">
        <f t="shared" si="13"/>
        <v>-9604</v>
      </c>
      <c r="F91" s="7">
        <f t="shared" si="14"/>
        <v>-0.13959099431694308</v>
      </c>
    </row>
    <row r="92" spans="1:6" x14ac:dyDescent="0.2">
      <c r="A92" s="3" t="s">
        <v>69</v>
      </c>
      <c r="B92" s="4"/>
      <c r="C92" s="6">
        <f t="shared" si="15"/>
        <v>3908</v>
      </c>
      <c r="D92" s="6">
        <f t="shared" si="15"/>
        <v>8177</v>
      </c>
      <c r="E92" s="6">
        <f t="shared" si="13"/>
        <v>-4269</v>
      </c>
      <c r="F92" s="7">
        <f t="shared" si="14"/>
        <v>-0.52207411030940443</v>
      </c>
    </row>
    <row r="93" spans="1:6" x14ac:dyDescent="0.2">
      <c r="A93" s="3" t="s">
        <v>71</v>
      </c>
      <c r="B93" s="4"/>
      <c r="C93" s="6">
        <f t="shared" si="15"/>
        <v>52335</v>
      </c>
      <c r="D93" s="6">
        <f t="shared" si="15"/>
        <v>50817</v>
      </c>
      <c r="E93" s="6">
        <f t="shared" si="13"/>
        <v>1518</v>
      </c>
      <c r="F93" s="7">
        <f t="shared" si="14"/>
        <v>2.9871893264065176E-2</v>
      </c>
    </row>
    <row r="94" spans="1:6" x14ac:dyDescent="0.2">
      <c r="A94" s="3" t="s">
        <v>98</v>
      </c>
      <c r="B94" s="4"/>
      <c r="C94" s="6">
        <f t="shared" si="15"/>
        <v>1100</v>
      </c>
      <c r="D94" s="6">
        <f t="shared" si="15"/>
        <v>1400</v>
      </c>
      <c r="E94" s="6">
        <f t="shared" si="13"/>
        <v>-300</v>
      </c>
      <c r="F94" s="7">
        <f t="shared" si="14"/>
        <v>-0.21428571428571427</v>
      </c>
    </row>
    <row r="95" spans="1:6" x14ac:dyDescent="0.2">
      <c r="A95" s="3" t="s">
        <v>99</v>
      </c>
      <c r="B95" s="4"/>
      <c r="C95" s="6">
        <f t="shared" si="15"/>
        <v>0</v>
      </c>
      <c r="D95" s="6">
        <f t="shared" si="15"/>
        <v>0</v>
      </c>
      <c r="E95" s="6">
        <f t="shared" si="13"/>
        <v>0</v>
      </c>
      <c r="F95" s="7" t="str">
        <f t="shared" si="14"/>
        <v>n.s.</v>
      </c>
    </row>
    <row r="96" spans="1:6" x14ac:dyDescent="0.2">
      <c r="A96" s="8" t="s">
        <v>100</v>
      </c>
      <c r="B96" s="9"/>
      <c r="C96" s="10">
        <f>SUM(C90:C95)</f>
        <v>187427</v>
      </c>
      <c r="D96" s="10">
        <f>SUM(D90:D95)</f>
        <v>247514</v>
      </c>
      <c r="E96" s="10">
        <f t="shared" si="13"/>
        <v>-60087</v>
      </c>
      <c r="F96" s="11">
        <f t="shared" si="14"/>
        <v>-0.24276202558239129</v>
      </c>
    </row>
    <row r="97" spans="1:6" ht="6" customHeight="1" x14ac:dyDescent="0.2"/>
    <row r="98" spans="1:6" x14ac:dyDescent="0.2">
      <c r="A98" s="38" t="s">
        <v>101</v>
      </c>
      <c r="B98" s="38"/>
      <c r="C98" s="38"/>
      <c r="D98" s="38"/>
      <c r="E98" s="38"/>
      <c r="F98" s="38"/>
    </row>
    <row r="99" spans="1:6" x14ac:dyDescent="0.2">
      <c r="A99" s="3" t="s">
        <v>102</v>
      </c>
      <c r="B99" s="4"/>
      <c r="C99" s="6">
        <f>C44</f>
        <v>273941</v>
      </c>
      <c r="D99" s="6">
        <f>D44</f>
        <v>203334</v>
      </c>
      <c r="E99" s="6">
        <f t="shared" ref="E99:E106" si="16">C99-D99</f>
        <v>70607</v>
      </c>
      <c r="F99" s="7">
        <f t="shared" ref="F99:F106" si="17">IFERROR(E99/ABS(D99),"n.s.")</f>
        <v>0.34724640247081157</v>
      </c>
    </row>
    <row r="100" spans="1:6" x14ac:dyDescent="0.2">
      <c r="A100" s="3" t="s">
        <v>56</v>
      </c>
      <c r="B100" s="4"/>
      <c r="C100" s="6">
        <f>C45</f>
        <v>7527</v>
      </c>
      <c r="D100" s="6">
        <f>D45</f>
        <v>8222</v>
      </c>
      <c r="E100" s="6">
        <f t="shared" si="16"/>
        <v>-695</v>
      </c>
      <c r="F100" s="7">
        <f t="shared" si="17"/>
        <v>-8.4529311603016299E-2</v>
      </c>
    </row>
    <row r="101" spans="1:6" x14ac:dyDescent="0.2">
      <c r="A101" s="3" t="s">
        <v>103</v>
      </c>
      <c r="B101" s="4"/>
      <c r="C101" s="6">
        <f>C47</f>
        <v>3930</v>
      </c>
      <c r="D101" s="6">
        <f>D47</f>
        <v>3767</v>
      </c>
      <c r="E101" s="6">
        <f t="shared" si="16"/>
        <v>163</v>
      </c>
      <c r="F101" s="7">
        <f t="shared" si="17"/>
        <v>4.3270507034775682E-2</v>
      </c>
    </row>
    <row r="102" spans="1:6" x14ac:dyDescent="0.2">
      <c r="A102" s="3" t="s">
        <v>58</v>
      </c>
      <c r="B102" s="4"/>
      <c r="C102" s="6">
        <f>C46</f>
        <v>4813</v>
      </c>
      <c r="D102" s="6">
        <f>D46</f>
        <v>2957</v>
      </c>
      <c r="E102" s="6">
        <f t="shared" si="16"/>
        <v>1856</v>
      </c>
      <c r="F102" s="7">
        <f t="shared" si="17"/>
        <v>0.62766317213391953</v>
      </c>
    </row>
    <row r="103" spans="1:6" x14ac:dyDescent="0.2">
      <c r="A103" s="3" t="s">
        <v>104</v>
      </c>
      <c r="B103" s="4"/>
      <c r="C103" s="6">
        <f>C48</f>
        <v>1299</v>
      </c>
      <c r="D103" s="6">
        <f>D48</f>
        <v>2370</v>
      </c>
      <c r="E103" s="6">
        <f t="shared" si="16"/>
        <v>-1071</v>
      </c>
      <c r="F103" s="7">
        <f t="shared" si="17"/>
        <v>-0.45189873417721521</v>
      </c>
    </row>
    <row r="104" spans="1:6" x14ac:dyDescent="0.2">
      <c r="A104" s="3" t="s">
        <v>63</v>
      </c>
      <c r="B104" s="4"/>
      <c r="C104" s="6">
        <f>C49</f>
        <v>0</v>
      </c>
      <c r="D104" s="6">
        <f>D49</f>
        <v>0</v>
      </c>
      <c r="E104" s="6">
        <f t="shared" si="16"/>
        <v>0</v>
      </c>
      <c r="F104" s="7" t="str">
        <f t="shared" si="17"/>
        <v>n.s.</v>
      </c>
    </row>
    <row r="105" spans="1:6" x14ac:dyDescent="0.2">
      <c r="A105" s="8" t="s">
        <v>105</v>
      </c>
      <c r="B105" s="9"/>
      <c r="C105" s="10">
        <f>SUM(C99:C104)</f>
        <v>291510</v>
      </c>
      <c r="D105" s="10">
        <f>SUM(D99:D104)</f>
        <v>220650</v>
      </c>
      <c r="E105" s="10">
        <f t="shared" si="16"/>
        <v>70860</v>
      </c>
      <c r="F105" s="11">
        <f t="shared" si="17"/>
        <v>0.32114208021753909</v>
      </c>
    </row>
    <row r="106" spans="1:6" x14ac:dyDescent="0.2">
      <c r="A106" s="8" t="s">
        <v>106</v>
      </c>
      <c r="B106" s="9"/>
      <c r="C106" s="10">
        <f>C96+C105</f>
        <v>478937</v>
      </c>
      <c r="D106" s="10">
        <f>D96+D105</f>
        <v>468164</v>
      </c>
      <c r="E106" s="10">
        <f t="shared" si="16"/>
        <v>10773</v>
      </c>
      <c r="F106" s="11">
        <f t="shared" si="17"/>
        <v>2.3011167026939276E-2</v>
      </c>
    </row>
    <row r="107" spans="1:6" ht="6" customHeight="1" x14ac:dyDescent="0.2"/>
    <row r="108" spans="1:6" x14ac:dyDescent="0.2">
      <c r="A108" s="8" t="s">
        <v>39</v>
      </c>
      <c r="B108" s="9"/>
      <c r="C108" s="21">
        <f>C41</f>
        <v>362731</v>
      </c>
      <c r="D108" s="21">
        <f>D41</f>
        <v>329380</v>
      </c>
      <c r="E108" s="21">
        <f>C108-D108</f>
        <v>33351</v>
      </c>
      <c r="F108" s="22">
        <f>IFERROR(E108/ABS(D108),"n.s.")</f>
        <v>0.10125387090898051</v>
      </c>
    </row>
    <row r="109" spans="1:6" x14ac:dyDescent="0.2">
      <c r="A109" s="8" t="s">
        <v>107</v>
      </c>
      <c r="B109" s="9"/>
      <c r="C109" s="19">
        <f>C106+C108</f>
        <v>841668</v>
      </c>
      <c r="D109" s="19">
        <f>D106+D108</f>
        <v>797544</v>
      </c>
      <c r="E109" s="19">
        <f>C109-D109</f>
        <v>44124</v>
      </c>
      <c r="F109" s="20">
        <f>IFERROR(E109/ABS(D109),"n.s.")</f>
        <v>5.5324847281153139E-2</v>
      </c>
    </row>
    <row r="110" spans="1:6" x14ac:dyDescent="0.2">
      <c r="A110" s="17" t="s">
        <v>108</v>
      </c>
      <c r="B110" s="4"/>
      <c r="C110" s="18">
        <f>C86-C109</f>
        <v>1</v>
      </c>
      <c r="D110" s="18">
        <f>D86-D109</f>
        <v>2</v>
      </c>
    </row>
    <row r="112" spans="1:6" ht="19.5" customHeight="1" x14ac:dyDescent="0.2">
      <c r="A112" s="37" t="s">
        <v>267</v>
      </c>
      <c r="B112" s="37"/>
      <c r="C112" s="37"/>
      <c r="D112" s="37"/>
      <c r="E112" s="37"/>
      <c r="F112" s="37"/>
    </row>
    <row r="113" spans="1:6" ht="15.75" customHeight="1" x14ac:dyDescent="0.2">
      <c r="A113" s="1" t="s">
        <v>109</v>
      </c>
      <c r="B113" s="2"/>
      <c r="C113" s="2" t="s">
        <v>3</v>
      </c>
      <c r="D113" s="2" t="s">
        <v>4</v>
      </c>
      <c r="E113" s="2" t="s">
        <v>5</v>
      </c>
      <c r="F113" s="2"/>
    </row>
    <row r="114" spans="1:6" x14ac:dyDescent="0.2">
      <c r="A114" s="3" t="s">
        <v>110</v>
      </c>
      <c r="B114" s="4"/>
      <c r="C114" s="6">
        <f>C79-C96</f>
        <v>110851</v>
      </c>
      <c r="D114" s="6">
        <f>D79-D96</f>
        <v>64697</v>
      </c>
      <c r="E114" s="6">
        <f t="shared" ref="E114:E126" si="18">C114-D114</f>
        <v>46154</v>
      </c>
      <c r="F114" s="7">
        <f t="shared" ref="F114:F126" si="19">IFERROR(E114/ABS(D114),"n.s.")</f>
        <v>0.71338701949085737</v>
      </c>
    </row>
    <row r="115" spans="1:6" x14ac:dyDescent="0.2">
      <c r="A115" s="3" t="s">
        <v>111</v>
      </c>
      <c r="B115" s="4"/>
      <c r="C115" s="6">
        <f>C19+C18-C53</f>
        <v>171016</v>
      </c>
      <c r="D115" s="6">
        <f>D19+D18-D53</f>
        <v>169882</v>
      </c>
      <c r="E115" s="6">
        <f t="shared" si="18"/>
        <v>1134</v>
      </c>
      <c r="F115" s="7">
        <f t="shared" si="19"/>
        <v>6.675221624421657E-3</v>
      </c>
    </row>
    <row r="116" spans="1:6" x14ac:dyDescent="0.2">
      <c r="A116" s="3" t="s">
        <v>112</v>
      </c>
      <c r="B116" s="4"/>
      <c r="C116" s="6">
        <f>C108-C85</f>
        <v>-180660</v>
      </c>
      <c r="D116" s="6">
        <f>D108-D85</f>
        <v>-155955</v>
      </c>
      <c r="E116" s="6">
        <f t="shared" si="18"/>
        <v>-24705</v>
      </c>
      <c r="F116" s="7">
        <f t="shared" si="19"/>
        <v>-0.15841108011926516</v>
      </c>
    </row>
    <row r="117" spans="1:6" x14ac:dyDescent="0.2">
      <c r="A117" s="3" t="s">
        <v>113</v>
      </c>
      <c r="B117" s="4"/>
      <c r="C117" s="6">
        <f>(C108+C105)-C85</f>
        <v>110850</v>
      </c>
      <c r="D117" s="6">
        <f>(D108+D105)-D85</f>
        <v>64695</v>
      </c>
      <c r="E117" s="6">
        <f t="shared" si="18"/>
        <v>46155</v>
      </c>
      <c r="F117" s="7">
        <f t="shared" si="19"/>
        <v>0.71342453048921861</v>
      </c>
    </row>
    <row r="118" spans="1:6" x14ac:dyDescent="0.2">
      <c r="A118" s="8" t="s">
        <v>114</v>
      </c>
      <c r="B118" s="9"/>
      <c r="C118" s="21">
        <f>C85+C114</f>
        <v>654242</v>
      </c>
      <c r="D118" s="21">
        <f>D85+D114</f>
        <v>550032</v>
      </c>
      <c r="E118" s="21">
        <f t="shared" si="18"/>
        <v>104210</v>
      </c>
      <c r="F118" s="22">
        <f t="shared" si="19"/>
        <v>0.18946170404631002</v>
      </c>
    </row>
    <row r="119" spans="1:6" x14ac:dyDescent="0.2">
      <c r="A119" s="3" t="s">
        <v>115</v>
      </c>
      <c r="B119" s="4"/>
      <c r="C119" s="6">
        <f>C58+C44</f>
        <v>344828</v>
      </c>
      <c r="D119" s="6">
        <f>D58+D44</f>
        <v>321653</v>
      </c>
      <c r="E119" s="6">
        <f t="shared" si="18"/>
        <v>23175</v>
      </c>
      <c r="F119" s="7">
        <f t="shared" si="19"/>
        <v>7.2049693303031528E-2</v>
      </c>
    </row>
    <row r="120" spans="1:6" x14ac:dyDescent="0.2">
      <c r="A120" s="8" t="s">
        <v>116</v>
      </c>
      <c r="B120" s="9"/>
      <c r="C120" s="21">
        <f>C119-C71</f>
        <v>307813</v>
      </c>
      <c r="D120" s="21">
        <f>D119-D71</f>
        <v>273998</v>
      </c>
      <c r="E120" s="21">
        <f t="shared" si="18"/>
        <v>33815</v>
      </c>
      <c r="F120" s="22">
        <f t="shared" si="19"/>
        <v>0.12341330958620136</v>
      </c>
    </row>
    <row r="121" spans="1:6" x14ac:dyDescent="0.2">
      <c r="A121" s="3" t="s">
        <v>117</v>
      </c>
      <c r="B121" s="4"/>
      <c r="C121" s="6">
        <f>C108-C82</f>
        <v>18950</v>
      </c>
      <c r="D121" s="6">
        <f>D108-D82</f>
        <v>-9989</v>
      </c>
      <c r="E121" s="6">
        <f t="shared" si="18"/>
        <v>28939</v>
      </c>
      <c r="F121" s="7">
        <f t="shared" si="19"/>
        <v>2.8970867954750226</v>
      </c>
    </row>
    <row r="122" spans="1:6" x14ac:dyDescent="0.2">
      <c r="A122" s="3" t="s">
        <v>118</v>
      </c>
      <c r="B122" s="4"/>
      <c r="C122" s="23">
        <f>C120/C108</f>
        <v>0.84859854823546921</v>
      </c>
      <c r="D122" s="23">
        <f>D120/D108</f>
        <v>0.83185985791487038</v>
      </c>
      <c r="E122" s="23">
        <f t="shared" si="18"/>
        <v>1.6738690320598826E-2</v>
      </c>
      <c r="F122" s="7">
        <f t="shared" si="19"/>
        <v>2.0122007524868216E-2</v>
      </c>
    </row>
    <row r="123" spans="1:6" x14ac:dyDescent="0.2">
      <c r="A123" s="3" t="s">
        <v>119</v>
      </c>
      <c r="B123" s="4"/>
      <c r="C123" s="7">
        <f>C108/C106</f>
        <v>0.75736683530401705</v>
      </c>
      <c r="D123" s="7">
        <f>D108/D106</f>
        <v>0.70355687323245697</v>
      </c>
      <c r="E123" s="7">
        <f t="shared" si="18"/>
        <v>5.380996207156008E-2</v>
      </c>
      <c r="F123" s="7">
        <f t="shared" si="19"/>
        <v>7.6482746624779455E-2</v>
      </c>
    </row>
    <row r="124" spans="1:6" x14ac:dyDescent="0.2">
      <c r="A124" s="3" t="s">
        <v>120</v>
      </c>
      <c r="B124" s="4"/>
      <c r="C124" s="23">
        <f>C108/C85</f>
        <v>0.66753221897307835</v>
      </c>
      <c r="D124" s="23">
        <f>D108/D85</f>
        <v>0.67866525183636051</v>
      </c>
      <c r="E124" s="23">
        <f t="shared" si="18"/>
        <v>-1.1133032863282155E-2</v>
      </c>
      <c r="F124" s="7">
        <f t="shared" si="19"/>
        <v>-1.6404306590263661E-2</v>
      </c>
    </row>
    <row r="125" spans="1:6" x14ac:dyDescent="0.2">
      <c r="A125" s="3" t="s">
        <v>121</v>
      </c>
      <c r="B125" s="4"/>
      <c r="C125" s="23">
        <f>(C108+C105)/C85</f>
        <v>1.203996753718777</v>
      </c>
      <c r="D125" s="23">
        <f>(D108+D105)/D85</f>
        <v>1.1332996796027486</v>
      </c>
      <c r="E125" s="23">
        <f t="shared" si="18"/>
        <v>7.0697074116028435E-2</v>
      </c>
      <c r="F125" s="7">
        <f t="shared" si="19"/>
        <v>6.2381623667986587E-2</v>
      </c>
    </row>
    <row r="126" spans="1:6" x14ac:dyDescent="0.2">
      <c r="A126" s="3" t="s">
        <v>122</v>
      </c>
      <c r="B126" s="4"/>
      <c r="C126" s="23">
        <f>C79/C96</f>
        <v>1.5914355989265154</v>
      </c>
      <c r="D126" s="23">
        <f>D79/D96</f>
        <v>1.2613872346614736</v>
      </c>
      <c r="E126" s="23">
        <f t="shared" si="18"/>
        <v>0.3300483642650418</v>
      </c>
      <c r="F126" s="7">
        <f t="shared" si="19"/>
        <v>0.26165506927269561</v>
      </c>
    </row>
    <row r="129" spans="1:6" ht="19.5" customHeight="1" x14ac:dyDescent="0.2">
      <c r="A129" s="37" t="s">
        <v>123</v>
      </c>
      <c r="B129" s="37"/>
      <c r="C129" s="37"/>
      <c r="D129" s="37"/>
      <c r="E129" s="37"/>
      <c r="F129" s="37"/>
    </row>
    <row r="130" spans="1:6" ht="15.75" customHeight="1" x14ac:dyDescent="0.2">
      <c r="A130" s="1" t="s">
        <v>1</v>
      </c>
      <c r="B130" s="2" t="s">
        <v>124</v>
      </c>
      <c r="C130" s="2" t="s">
        <v>125</v>
      </c>
      <c r="D130" s="2" t="s">
        <v>126</v>
      </c>
      <c r="E130" s="2" t="s">
        <v>127</v>
      </c>
      <c r="F130" s="2" t="s">
        <v>128</v>
      </c>
    </row>
    <row r="131" spans="1:6" x14ac:dyDescent="0.2">
      <c r="A131" s="3" t="s">
        <v>129</v>
      </c>
      <c r="B131" s="5">
        <v>575976</v>
      </c>
      <c r="C131" s="5">
        <v>640290</v>
      </c>
      <c r="D131" s="5">
        <v>655310</v>
      </c>
      <c r="E131" s="16">
        <f>D26</f>
        <v>797546</v>
      </c>
      <c r="F131" s="16">
        <f>C26</f>
        <v>841669</v>
      </c>
    </row>
    <row r="132" spans="1:6" x14ac:dyDescent="0.2">
      <c r="A132" s="3" t="s">
        <v>40</v>
      </c>
      <c r="B132" s="5">
        <v>36120</v>
      </c>
      <c r="C132" s="5">
        <v>36120</v>
      </c>
      <c r="D132" s="5">
        <v>36120</v>
      </c>
      <c r="E132" s="16">
        <f>D30</f>
        <v>36120</v>
      </c>
      <c r="F132" s="16">
        <f>C30</f>
        <v>36120</v>
      </c>
    </row>
    <row r="133" spans="1:6" x14ac:dyDescent="0.2">
      <c r="A133" s="8" t="s">
        <v>130</v>
      </c>
      <c r="B133" s="24">
        <v>212041</v>
      </c>
      <c r="C133" s="24">
        <v>255622</v>
      </c>
      <c r="D133" s="24">
        <v>291845</v>
      </c>
      <c r="E133" s="25">
        <f>D41</f>
        <v>329380</v>
      </c>
      <c r="F133" s="25">
        <f>C41</f>
        <v>362731</v>
      </c>
    </row>
  </sheetData>
  <mergeCells count="21">
    <mergeCell ref="A1:F1"/>
    <mergeCell ref="A2:F2"/>
    <mergeCell ref="A4:F4"/>
    <mergeCell ref="A6:F6"/>
    <mergeCell ref="A7:F7"/>
    <mergeCell ref="A17:F17"/>
    <mergeCell ref="A28:F28"/>
    <mergeCell ref="A29:F29"/>
    <mergeCell ref="A43:F43"/>
    <mergeCell ref="A52:F52"/>
    <mergeCell ref="A64:F64"/>
    <mergeCell ref="A67:F67"/>
    <mergeCell ref="A68:F68"/>
    <mergeCell ref="A70:F70"/>
    <mergeCell ref="A72:F72"/>
    <mergeCell ref="A129:F129"/>
    <mergeCell ref="A81:F81"/>
    <mergeCell ref="A88:F88"/>
    <mergeCell ref="A89:F89"/>
    <mergeCell ref="A98:F98"/>
    <mergeCell ref="A112:F112"/>
  </mergeCells>
  <pageMargins left="0.4" right="0.4" top="0.5" bottom="0.5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67"/>
  <sheetViews>
    <sheetView showGridLines="0" topLeftCell="A11" zoomScale="150" zoomScaleNormal="60" workbookViewId="0">
      <selection activeCell="V31" sqref="V31"/>
    </sheetView>
  </sheetViews>
  <sheetFormatPr baseColWidth="10" defaultColWidth="8.6640625" defaultRowHeight="15" x14ac:dyDescent="0.2"/>
  <cols>
    <col min="1" max="1" width="58" customWidth="1"/>
    <col min="2" max="2" width="9" customWidth="1"/>
    <col min="3" max="4" width="15" customWidth="1"/>
    <col min="5" max="5" width="14" customWidth="1"/>
    <col min="6" max="6" width="12" customWidth="1"/>
    <col min="7" max="8" width="13" customWidth="1"/>
    <col min="20" max="24" width="10" customWidth="1"/>
    <col min="26" max="30" width="10" customWidth="1"/>
  </cols>
  <sheetData>
    <row r="1" spans="1:26" ht="25.5" customHeight="1" x14ac:dyDescent="0.2">
      <c r="A1" s="40" t="s">
        <v>269</v>
      </c>
      <c r="B1" s="40"/>
      <c r="C1" s="40"/>
      <c r="D1" s="40"/>
      <c r="E1" s="40"/>
      <c r="F1" s="40"/>
    </row>
    <row r="2" spans="1:26" ht="15.75" customHeight="1" x14ac:dyDescent="0.2">
      <c r="A2" s="41" t="s">
        <v>135</v>
      </c>
      <c r="B2" s="41"/>
      <c r="C2" s="41"/>
      <c r="D2" s="41"/>
      <c r="E2" s="41"/>
      <c r="F2" s="41"/>
      <c r="V2" s="26" t="s">
        <v>268</v>
      </c>
    </row>
    <row r="3" spans="1:26" x14ac:dyDescent="0.2">
      <c r="V3" s="26" t="s">
        <v>131</v>
      </c>
      <c r="W3" s="26" t="s">
        <v>190</v>
      </c>
      <c r="X3" s="26" t="s">
        <v>191</v>
      </c>
      <c r="Y3" s="26" t="s">
        <v>188</v>
      </c>
      <c r="Z3" s="26" t="s">
        <v>189</v>
      </c>
    </row>
    <row r="4" spans="1:26" ht="19.5" customHeight="1" x14ac:dyDescent="0.2">
      <c r="A4" s="37" t="s">
        <v>136</v>
      </c>
      <c r="B4" s="37"/>
      <c r="C4" s="37"/>
      <c r="D4" s="37"/>
      <c r="E4" s="37"/>
      <c r="F4" s="37"/>
      <c r="V4" s="26" t="s">
        <v>124</v>
      </c>
      <c r="W4" s="18">
        <f>B54</f>
        <v>358539</v>
      </c>
      <c r="X4" s="18">
        <f>B65</f>
        <v>65971.175999999992</v>
      </c>
      <c r="Y4" s="18">
        <f>B66</f>
        <v>53780.85</v>
      </c>
      <c r="Z4" s="18">
        <f>B67</f>
        <v>36471</v>
      </c>
    </row>
    <row r="5" spans="1:26" ht="15.75" customHeight="1" x14ac:dyDescent="0.2">
      <c r="A5" s="1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V5" s="26" t="s">
        <v>125</v>
      </c>
      <c r="W5" s="18">
        <f>C54</f>
        <v>412074</v>
      </c>
      <c r="X5" s="18">
        <f>C65</f>
        <v>80354.430000000008</v>
      </c>
      <c r="Y5" s="18">
        <f>C66</f>
        <v>51509.25</v>
      </c>
      <c r="Z5" s="18">
        <f>C67</f>
        <v>37832</v>
      </c>
    </row>
    <row r="6" spans="1:26" x14ac:dyDescent="0.2">
      <c r="A6" s="3" t="s">
        <v>137</v>
      </c>
      <c r="B6" s="4" t="s">
        <v>138</v>
      </c>
      <c r="C6" s="5">
        <v>538343</v>
      </c>
      <c r="D6" s="5">
        <v>510120</v>
      </c>
      <c r="E6" s="6">
        <f t="shared" ref="E6:E18" si="0">C6-D6</f>
        <v>28223</v>
      </c>
      <c r="F6" s="7">
        <f t="shared" ref="F6:F18" si="1">IFERROR(E6/ABS(D6),"n.s.")</f>
        <v>5.5326197757390415E-2</v>
      </c>
      <c r="V6" s="26" t="s">
        <v>126</v>
      </c>
      <c r="W6" s="18">
        <f>D54</f>
        <v>454199</v>
      </c>
      <c r="X6" s="18">
        <f>D65</f>
        <v>89477.203000000009</v>
      </c>
      <c r="Y6" s="18">
        <f>D66</f>
        <v>62679.462000000007</v>
      </c>
      <c r="Z6" s="18">
        <f>D67</f>
        <v>45236</v>
      </c>
    </row>
    <row r="7" spans="1:26" x14ac:dyDescent="0.2">
      <c r="A7" s="3" t="s">
        <v>139</v>
      </c>
      <c r="B7" s="4" t="s">
        <v>140</v>
      </c>
      <c r="C7" s="5">
        <v>-215762</v>
      </c>
      <c r="D7" s="5">
        <v>-200087</v>
      </c>
      <c r="E7" s="6">
        <f t="shared" si="0"/>
        <v>-15675</v>
      </c>
      <c r="F7" s="7">
        <f t="shared" si="1"/>
        <v>-7.8340921699060914E-2</v>
      </c>
      <c r="V7" s="26" t="s">
        <v>127</v>
      </c>
      <c r="W7" s="18">
        <f>E54</f>
        <v>510120</v>
      </c>
      <c r="X7" s="18">
        <f>E65</f>
        <v>97513</v>
      </c>
      <c r="Y7" s="18">
        <f>E66</f>
        <v>68986</v>
      </c>
      <c r="Z7" s="18">
        <f>E67</f>
        <v>42116</v>
      </c>
    </row>
    <row r="8" spans="1:26" x14ac:dyDescent="0.2">
      <c r="A8" s="8" t="s">
        <v>141</v>
      </c>
      <c r="B8" s="9"/>
      <c r="C8" s="10">
        <f>C6+C7</f>
        <v>322581</v>
      </c>
      <c r="D8" s="10">
        <f>D6+D7</f>
        <v>310033</v>
      </c>
      <c r="E8" s="10">
        <f t="shared" si="0"/>
        <v>12548</v>
      </c>
      <c r="F8" s="11">
        <f t="shared" si="1"/>
        <v>4.0473110926901333E-2</v>
      </c>
      <c r="V8" s="26" t="s">
        <v>128</v>
      </c>
      <c r="W8" s="18">
        <f>F54</f>
        <v>538343</v>
      </c>
      <c r="X8" s="18">
        <f>F65</f>
        <v>110124</v>
      </c>
      <c r="Y8" s="18">
        <f>F66</f>
        <v>60138</v>
      </c>
      <c r="Z8" s="18">
        <f>F67</f>
        <v>39655</v>
      </c>
    </row>
    <row r="9" spans="1:26" x14ac:dyDescent="0.2">
      <c r="A9" s="3" t="s">
        <v>142</v>
      </c>
      <c r="B9" s="4" t="s">
        <v>140</v>
      </c>
      <c r="C9" s="5">
        <v>-153011</v>
      </c>
      <c r="D9" s="5">
        <v>-150063</v>
      </c>
      <c r="E9" s="6">
        <f t="shared" si="0"/>
        <v>-2948</v>
      </c>
      <c r="F9" s="7">
        <f t="shared" si="1"/>
        <v>-1.964508239872587E-2</v>
      </c>
    </row>
    <row r="10" spans="1:26" x14ac:dyDescent="0.2">
      <c r="A10" s="3" t="s">
        <v>143</v>
      </c>
      <c r="B10" s="4" t="s">
        <v>140</v>
      </c>
      <c r="C10" s="5">
        <v>-41733</v>
      </c>
      <c r="D10" s="5">
        <v>-29285</v>
      </c>
      <c r="E10" s="6">
        <f t="shared" si="0"/>
        <v>-12448</v>
      </c>
      <c r="F10" s="7">
        <f t="shared" si="1"/>
        <v>-0.4250640259518525</v>
      </c>
    </row>
    <row r="11" spans="1:26" x14ac:dyDescent="0.2">
      <c r="A11" s="3" t="s">
        <v>144</v>
      </c>
      <c r="B11" s="4" t="s">
        <v>140</v>
      </c>
      <c r="C11" s="5">
        <v>-69055</v>
      </c>
      <c r="D11" s="5">
        <v>-63039</v>
      </c>
      <c r="E11" s="6">
        <f t="shared" si="0"/>
        <v>-6016</v>
      </c>
      <c r="F11" s="7">
        <f t="shared" si="1"/>
        <v>-9.5432985929345321E-2</v>
      </c>
      <c r="V11" s="26" t="s">
        <v>268</v>
      </c>
    </row>
    <row r="12" spans="1:26" x14ac:dyDescent="0.2">
      <c r="A12" s="3" t="s">
        <v>145</v>
      </c>
      <c r="B12" s="4" t="s">
        <v>140</v>
      </c>
      <c r="C12" s="5">
        <v>1356</v>
      </c>
      <c r="D12" s="5">
        <v>1340</v>
      </c>
      <c r="E12" s="6">
        <f t="shared" si="0"/>
        <v>16</v>
      </c>
      <c r="F12" s="7">
        <f t="shared" si="1"/>
        <v>1.1940298507462687E-2</v>
      </c>
      <c r="V12" s="26" t="s">
        <v>131</v>
      </c>
      <c r="W12" s="26" t="s">
        <v>192</v>
      </c>
      <c r="X12" s="26" t="s">
        <v>193</v>
      </c>
      <c r="Y12" s="26" t="s">
        <v>194</v>
      </c>
      <c r="Z12" s="26" t="s">
        <v>195</v>
      </c>
    </row>
    <row r="13" spans="1:26" x14ac:dyDescent="0.2">
      <c r="A13" s="8" t="s">
        <v>146</v>
      </c>
      <c r="B13" s="9"/>
      <c r="C13" s="10">
        <f>SUM(C9:C12)</f>
        <v>-262443</v>
      </c>
      <c r="D13" s="10">
        <f>SUM(D9:D12)</f>
        <v>-241047</v>
      </c>
      <c r="E13" s="10">
        <f t="shared" si="0"/>
        <v>-21396</v>
      </c>
      <c r="F13" s="11">
        <f t="shared" si="1"/>
        <v>-8.8762772405381524E-2</v>
      </c>
      <c r="V13" s="26" t="s">
        <v>124</v>
      </c>
      <c r="W13" s="35">
        <f>B58</f>
        <v>0.15</v>
      </c>
      <c r="X13" s="35">
        <f>B59</f>
        <v>0.184</v>
      </c>
      <c r="Y13" s="35">
        <f>B60</f>
        <v>9.4E-2</v>
      </c>
      <c r="Z13" s="35">
        <f>B61</f>
        <v>0.17199999999999999</v>
      </c>
    </row>
    <row r="14" spans="1:26" x14ac:dyDescent="0.2">
      <c r="A14" s="27" t="s">
        <v>147</v>
      </c>
      <c r="B14" s="4"/>
      <c r="C14" s="28">
        <f>C8+C13</f>
        <v>60138</v>
      </c>
      <c r="D14" s="28">
        <f>D8+D13</f>
        <v>68986</v>
      </c>
      <c r="E14" s="28">
        <f t="shared" si="0"/>
        <v>-8848</v>
      </c>
      <c r="F14" s="29">
        <f t="shared" si="1"/>
        <v>-0.12825790740150175</v>
      </c>
      <c r="V14" s="26" t="s">
        <v>125</v>
      </c>
      <c r="W14" s="35">
        <f>C58</f>
        <v>0.125</v>
      </c>
      <c r="X14" s="35">
        <f>C59</f>
        <v>0.19500000000000001</v>
      </c>
      <c r="Y14" s="35">
        <f>C60</f>
        <v>8.1000000000000003E-2</v>
      </c>
      <c r="Z14" s="35">
        <f>C61</f>
        <v>0.14799999999999999</v>
      </c>
    </row>
    <row r="15" spans="1:26" x14ac:dyDescent="0.2">
      <c r="A15" s="3" t="s">
        <v>148</v>
      </c>
      <c r="B15" s="4" t="s">
        <v>149</v>
      </c>
      <c r="C15" s="5">
        <v>-13728</v>
      </c>
      <c r="D15" s="5">
        <v>-5299</v>
      </c>
      <c r="E15" s="6">
        <f t="shared" si="0"/>
        <v>-8429</v>
      </c>
      <c r="F15" s="7">
        <f t="shared" si="1"/>
        <v>-1.5906774863181732</v>
      </c>
      <c r="V15" s="26" t="s">
        <v>126</v>
      </c>
      <c r="W15" s="35">
        <f>D58</f>
        <v>0.13800000000000001</v>
      </c>
      <c r="X15" s="35">
        <f>D59</f>
        <v>0.19700000000000001</v>
      </c>
      <c r="Y15" s="35">
        <f>D60</f>
        <v>9.6000000000000002E-2</v>
      </c>
      <c r="Z15" s="35">
        <f>D61</f>
        <v>0.155</v>
      </c>
    </row>
    <row r="16" spans="1:26" x14ac:dyDescent="0.2">
      <c r="A16" s="8" t="s">
        <v>150</v>
      </c>
      <c r="B16" s="9"/>
      <c r="C16" s="10">
        <f>C14+C15</f>
        <v>46410</v>
      </c>
      <c r="D16" s="10">
        <f>D14+D15</f>
        <v>63687</v>
      </c>
      <c r="E16" s="10">
        <f t="shared" si="0"/>
        <v>-17277</v>
      </c>
      <c r="F16" s="11">
        <f t="shared" si="1"/>
        <v>-0.27127985303123087</v>
      </c>
      <c r="V16" s="26" t="s">
        <v>127</v>
      </c>
      <c r="W16" s="35">
        <f>E58</f>
        <v>0.13523484670273661</v>
      </c>
      <c r="X16" s="35">
        <f>E59</f>
        <v>0.19115698267074413</v>
      </c>
      <c r="Y16" s="35">
        <f>E60</f>
        <v>8.6497832099966643E-2</v>
      </c>
      <c r="Z16" s="35">
        <f>E61</f>
        <v>0.12786447264557654</v>
      </c>
    </row>
    <row r="17" spans="1:26" x14ac:dyDescent="0.2">
      <c r="A17" s="3" t="s">
        <v>151</v>
      </c>
      <c r="B17" s="4" t="s">
        <v>152</v>
      </c>
      <c r="C17" s="5">
        <v>-6755</v>
      </c>
      <c r="D17" s="5">
        <v>-21571</v>
      </c>
      <c r="E17" s="6">
        <f t="shared" si="0"/>
        <v>14816</v>
      </c>
      <c r="F17" s="7">
        <f t="shared" si="1"/>
        <v>0.68684808307449818</v>
      </c>
      <c r="V17" s="26" t="s">
        <v>128</v>
      </c>
      <c r="W17" s="35">
        <f>F58</f>
        <v>0.11170944918016952</v>
      </c>
      <c r="X17" s="35">
        <f>F59</f>
        <v>0.20456103265018771</v>
      </c>
      <c r="Y17" s="35">
        <f>F60</f>
        <v>7.1450891027232802E-2</v>
      </c>
      <c r="Z17" s="35">
        <f>F61</f>
        <v>0.10932343802983478</v>
      </c>
    </row>
    <row r="18" spans="1:26" x14ac:dyDescent="0.2">
      <c r="A18" s="12" t="s">
        <v>153</v>
      </c>
      <c r="B18" s="13"/>
      <c r="C18" s="14">
        <f>C16+C17</f>
        <v>39655</v>
      </c>
      <c r="D18" s="14">
        <f>D16+D17</f>
        <v>42116</v>
      </c>
      <c r="E18" s="14">
        <f t="shared" si="0"/>
        <v>-2461</v>
      </c>
      <c r="F18" s="15">
        <f t="shared" si="1"/>
        <v>-5.8433849368411055E-2</v>
      </c>
    </row>
    <row r="20" spans="1:26" x14ac:dyDescent="0.2">
      <c r="A20" s="38" t="s">
        <v>154</v>
      </c>
      <c r="B20" s="38"/>
      <c r="C20" s="38"/>
      <c r="D20" s="38"/>
      <c r="E20" s="38"/>
      <c r="F20" s="38"/>
    </row>
    <row r="21" spans="1:26" x14ac:dyDescent="0.2">
      <c r="A21" s="3" t="s">
        <v>155</v>
      </c>
      <c r="B21" s="4"/>
      <c r="C21" s="5">
        <v>-49986</v>
      </c>
      <c r="D21" s="5">
        <v>-28527</v>
      </c>
      <c r="E21" s="6">
        <f>C21-D21</f>
        <v>-21459</v>
      </c>
      <c r="F21" s="7">
        <f>IFERROR(E21/ABS(D21),"n.s.")</f>
        <v>-0.75223472499737087</v>
      </c>
    </row>
    <row r="22" spans="1:26" x14ac:dyDescent="0.2">
      <c r="A22" s="8" t="s">
        <v>156</v>
      </c>
      <c r="B22" s="9"/>
      <c r="C22" s="21">
        <f>C14-C21</f>
        <v>110124</v>
      </c>
      <c r="D22" s="21">
        <f>D14-D21</f>
        <v>97513</v>
      </c>
      <c r="E22" s="21">
        <f>C22-D22</f>
        <v>12611</v>
      </c>
      <c r="F22" s="22">
        <f>IFERROR(E22/ABS(D22),"n.s.")</f>
        <v>0.12932634623075898</v>
      </c>
    </row>
    <row r="23" spans="1:26" x14ac:dyDescent="0.2">
      <c r="A23" s="3" t="s">
        <v>157</v>
      </c>
      <c r="B23" s="4"/>
      <c r="C23" s="7">
        <f>C22/C6</f>
        <v>0.20456103265018771</v>
      </c>
      <c r="D23" s="7">
        <f>D22/D6</f>
        <v>0.19115698267074413</v>
      </c>
    </row>
    <row r="25" spans="1:26" ht="25.5" customHeight="1" x14ac:dyDescent="0.2">
      <c r="A25" s="39" t="s">
        <v>158</v>
      </c>
      <c r="B25" s="39"/>
      <c r="C25" s="39"/>
      <c r="D25" s="39"/>
      <c r="E25" s="39"/>
      <c r="F25" s="39"/>
    </row>
    <row r="28" spans="1:26" ht="19.5" customHeight="1" x14ac:dyDescent="0.2">
      <c r="A28" s="37" t="s">
        <v>159</v>
      </c>
      <c r="B28" s="37"/>
      <c r="C28" s="37"/>
      <c r="D28" s="37"/>
      <c r="E28" s="37"/>
      <c r="F28" s="37"/>
    </row>
    <row r="29" spans="1:26" ht="15.75" customHeight="1" x14ac:dyDescent="0.2">
      <c r="A29" s="1" t="s">
        <v>1</v>
      </c>
      <c r="B29" s="2" t="s">
        <v>2</v>
      </c>
      <c r="C29" s="2" t="s">
        <v>3</v>
      </c>
      <c r="D29" s="2" t="s">
        <v>4</v>
      </c>
      <c r="E29" s="2" t="s">
        <v>5</v>
      </c>
      <c r="F29" s="2" t="s">
        <v>6</v>
      </c>
    </row>
    <row r="30" spans="1:26" x14ac:dyDescent="0.2">
      <c r="A30" s="3" t="s">
        <v>160</v>
      </c>
      <c r="B30" s="4"/>
      <c r="C30" s="6">
        <f>C6</f>
        <v>538343</v>
      </c>
      <c r="D30" s="6">
        <f>D6</f>
        <v>510120</v>
      </c>
      <c r="E30" s="6">
        <f t="shared" ref="E30:E38" si="2">C30-D30</f>
        <v>28223</v>
      </c>
      <c r="F30" s="7">
        <f t="shared" ref="F30:F38" si="3">IFERROR(E30/ABS(D30),"n.s.")</f>
        <v>5.5326197757390415E-2</v>
      </c>
    </row>
    <row r="31" spans="1:26" x14ac:dyDescent="0.2">
      <c r="A31" s="3" t="s">
        <v>161</v>
      </c>
      <c r="B31" s="4"/>
      <c r="C31" s="6">
        <f>-(C30-C22)</f>
        <v>-428219</v>
      </c>
      <c r="D31" s="6">
        <f>-(D30-D22)</f>
        <v>-412607</v>
      </c>
      <c r="E31" s="6">
        <f t="shared" si="2"/>
        <v>-15612</v>
      </c>
      <c r="F31" s="7">
        <f t="shared" si="3"/>
        <v>-3.7837457920006201E-2</v>
      </c>
    </row>
    <row r="32" spans="1:26" x14ac:dyDescent="0.2">
      <c r="A32" s="8" t="s">
        <v>162</v>
      </c>
      <c r="B32" s="9"/>
      <c r="C32" s="10">
        <f>C30+C31</f>
        <v>110124</v>
      </c>
      <c r="D32" s="10">
        <f>D30+D31</f>
        <v>97513</v>
      </c>
      <c r="E32" s="10">
        <f t="shared" si="2"/>
        <v>12611</v>
      </c>
      <c r="F32" s="11">
        <f t="shared" si="3"/>
        <v>0.12932634623075898</v>
      </c>
    </row>
    <row r="33" spans="1:6" x14ac:dyDescent="0.2">
      <c r="A33" s="3" t="s">
        <v>163</v>
      </c>
      <c r="B33" s="4"/>
      <c r="C33" s="6">
        <f>C21</f>
        <v>-49986</v>
      </c>
      <c r="D33" s="6">
        <f>D21</f>
        <v>-28527</v>
      </c>
      <c r="E33" s="6">
        <f t="shared" si="2"/>
        <v>-21459</v>
      </c>
      <c r="F33" s="7">
        <f t="shared" si="3"/>
        <v>-0.75223472499737087</v>
      </c>
    </row>
    <row r="34" spans="1:6" x14ac:dyDescent="0.2">
      <c r="A34" s="27" t="s">
        <v>164</v>
      </c>
      <c r="B34" s="4"/>
      <c r="C34" s="28">
        <f>C32+C33</f>
        <v>60138</v>
      </c>
      <c r="D34" s="28">
        <f>D32+D33</f>
        <v>68986</v>
      </c>
      <c r="E34" s="28">
        <f t="shared" si="2"/>
        <v>-8848</v>
      </c>
      <c r="F34" s="29">
        <f t="shared" si="3"/>
        <v>-0.12825790740150175</v>
      </c>
    </row>
    <row r="35" spans="1:6" x14ac:dyDescent="0.2">
      <c r="A35" s="3" t="s">
        <v>165</v>
      </c>
      <c r="B35" s="4"/>
      <c r="C35" s="6">
        <f>C15</f>
        <v>-13728</v>
      </c>
      <c r="D35" s="6">
        <f>D15</f>
        <v>-5299</v>
      </c>
      <c r="E35" s="6">
        <f t="shared" si="2"/>
        <v>-8429</v>
      </c>
      <c r="F35" s="7">
        <f t="shared" si="3"/>
        <v>-1.5906774863181732</v>
      </c>
    </row>
    <row r="36" spans="1:6" x14ac:dyDescent="0.2">
      <c r="A36" s="8" t="s">
        <v>166</v>
      </c>
      <c r="B36" s="9"/>
      <c r="C36" s="10">
        <f>C34+C35</f>
        <v>46410</v>
      </c>
      <c r="D36" s="10">
        <f>D34+D35</f>
        <v>63687</v>
      </c>
      <c r="E36" s="10">
        <f t="shared" si="2"/>
        <v>-17277</v>
      </c>
      <c r="F36" s="11">
        <f t="shared" si="3"/>
        <v>-0.27127985303123087</v>
      </c>
    </row>
    <row r="37" spans="1:6" x14ac:dyDescent="0.2">
      <c r="A37" s="3" t="s">
        <v>167</v>
      </c>
      <c r="B37" s="4"/>
      <c r="C37" s="6">
        <f>C17</f>
        <v>-6755</v>
      </c>
      <c r="D37" s="6">
        <f>D17</f>
        <v>-21571</v>
      </c>
      <c r="E37" s="6">
        <f t="shared" si="2"/>
        <v>14816</v>
      </c>
      <c r="F37" s="7">
        <f t="shared" si="3"/>
        <v>0.68684808307449818</v>
      </c>
    </row>
    <row r="38" spans="1:6" x14ac:dyDescent="0.2">
      <c r="A38" s="8" t="s">
        <v>168</v>
      </c>
      <c r="B38" s="9"/>
      <c r="C38" s="19">
        <f>C36+C37</f>
        <v>39655</v>
      </c>
      <c r="D38" s="19">
        <f>D36+D37</f>
        <v>42116</v>
      </c>
      <c r="E38" s="19">
        <f t="shared" si="2"/>
        <v>-2461</v>
      </c>
      <c r="F38" s="20">
        <f t="shared" si="3"/>
        <v>-5.8433849368411055E-2</v>
      </c>
    </row>
    <row r="40" spans="1:6" ht="19.5" customHeight="1" x14ac:dyDescent="0.2">
      <c r="A40" s="37" t="s">
        <v>169</v>
      </c>
      <c r="B40" s="37"/>
      <c r="C40" s="37"/>
      <c r="D40" s="37"/>
      <c r="E40" s="37"/>
      <c r="F40" s="37"/>
    </row>
    <row r="41" spans="1:6" ht="15.75" customHeight="1" x14ac:dyDescent="0.2">
      <c r="A41" s="1" t="s">
        <v>109</v>
      </c>
      <c r="B41" s="2"/>
      <c r="C41" s="2" t="s">
        <v>3</v>
      </c>
      <c r="D41" s="2" t="s">
        <v>4</v>
      </c>
      <c r="E41" s="2" t="s">
        <v>5</v>
      </c>
      <c r="F41" s="2"/>
    </row>
    <row r="42" spans="1:6" x14ac:dyDescent="0.2">
      <c r="A42" s="3" t="s">
        <v>170</v>
      </c>
      <c r="B42" s="4"/>
      <c r="C42" s="7">
        <f>C32/C30</f>
        <v>0.20456103265018771</v>
      </c>
      <c r="D42" s="7">
        <f>D32/D30</f>
        <v>0.19115698267074413</v>
      </c>
      <c r="E42" s="7">
        <f t="shared" ref="E42:E49" si="4">C42-D42</f>
        <v>1.3404049979443583E-2</v>
      </c>
      <c r="F42" s="7">
        <f t="shared" ref="F42:F49" si="5">IFERROR(E42/ABS(D42),"n.s.")</f>
        <v>7.0120640073772333E-2</v>
      </c>
    </row>
    <row r="43" spans="1:6" x14ac:dyDescent="0.2">
      <c r="A43" s="3" t="s">
        <v>171</v>
      </c>
      <c r="B43" s="4"/>
      <c r="C43" s="7">
        <f>C22/C6</f>
        <v>0.20456103265018771</v>
      </c>
      <c r="D43" s="7">
        <f>D22/D6</f>
        <v>0.19115698267074413</v>
      </c>
      <c r="E43" s="7">
        <f t="shared" si="4"/>
        <v>1.3404049979443583E-2</v>
      </c>
      <c r="F43" s="7">
        <f t="shared" si="5"/>
        <v>7.0120640073772333E-2</v>
      </c>
    </row>
    <row r="44" spans="1:6" x14ac:dyDescent="0.2">
      <c r="A44" s="3" t="s">
        <v>172</v>
      </c>
      <c r="B44" s="4"/>
      <c r="C44" s="7">
        <f>C34/C30</f>
        <v>0.11170944918016952</v>
      </c>
      <c r="D44" s="7">
        <f>D34/D30</f>
        <v>0.13523484670273661</v>
      </c>
      <c r="E44" s="7">
        <f t="shared" si="4"/>
        <v>-2.352539752256709E-2</v>
      </c>
      <c r="F44" s="7">
        <f t="shared" si="5"/>
        <v>-0.17395958287495902</v>
      </c>
    </row>
    <row r="45" spans="1:6" x14ac:dyDescent="0.2">
      <c r="A45" s="3" t="s">
        <v>173</v>
      </c>
      <c r="B45" s="4"/>
      <c r="C45" s="30">
        <f>C30/'Stato Patrimoniale'!C26</f>
        <v>0.63961367235813604</v>
      </c>
      <c r="D45" s="30">
        <f>D30/'Stato Patrimoniale'!D26</f>
        <v>0.63961200984018474</v>
      </c>
      <c r="E45" s="23">
        <f t="shared" si="4"/>
        <v>1.6625179513063415E-6</v>
      </c>
      <c r="F45" s="7">
        <f t="shared" si="5"/>
        <v>2.5992600603633803E-6</v>
      </c>
    </row>
    <row r="46" spans="1:6" x14ac:dyDescent="0.2">
      <c r="A46" s="3" t="s">
        <v>174</v>
      </c>
      <c r="B46" s="4"/>
      <c r="C46" s="7">
        <f>C44*C45</f>
        <v>7.1450891027232802E-2</v>
      </c>
      <c r="D46" s="7">
        <f>D44*D45</f>
        <v>8.6497832099966643E-2</v>
      </c>
      <c r="E46" s="7">
        <f t="shared" si="4"/>
        <v>-1.5046941072733841E-2</v>
      </c>
      <c r="F46" s="7">
        <f t="shared" si="5"/>
        <v>-0.17395743578109449</v>
      </c>
    </row>
    <row r="47" spans="1:6" x14ac:dyDescent="0.2">
      <c r="A47" s="3" t="s">
        <v>175</v>
      </c>
      <c r="B47" s="4"/>
      <c r="C47" s="31">
        <f>C38/'Stato Patrimoniale'!C41</f>
        <v>0.10932343802983478</v>
      </c>
      <c r="D47" s="31">
        <f>D38/'Stato Patrimoniale'!D41</f>
        <v>0.12786447264557654</v>
      </c>
      <c r="E47" s="7">
        <f t="shared" si="4"/>
        <v>-1.8541034615741761E-2</v>
      </c>
      <c r="F47" s="7">
        <f t="shared" si="5"/>
        <v>-0.14500536569790629</v>
      </c>
    </row>
    <row r="48" spans="1:6" x14ac:dyDescent="0.2">
      <c r="A48" s="3" t="s">
        <v>176</v>
      </c>
      <c r="B48" s="4"/>
      <c r="C48" s="7">
        <f>-C37/C36</f>
        <v>0.14555052790346909</v>
      </c>
      <c r="D48" s="7">
        <f>-D37/D36</f>
        <v>0.33870334605178448</v>
      </c>
      <c r="E48" s="7">
        <f t="shared" si="4"/>
        <v>-0.19315281814831539</v>
      </c>
      <c r="F48" s="7">
        <f t="shared" si="5"/>
        <v>-0.57027136105937426</v>
      </c>
    </row>
    <row r="49" spans="1:6" x14ac:dyDescent="0.2">
      <c r="A49" s="3" t="s">
        <v>177</v>
      </c>
      <c r="B49" s="4"/>
      <c r="C49" s="7">
        <f>-C35/C30</f>
        <v>2.5500470889377218E-2</v>
      </c>
      <c r="D49" s="7">
        <f>-D35/D30</f>
        <v>1.038775190151337E-2</v>
      </c>
      <c r="E49" s="7">
        <f t="shared" si="4"/>
        <v>1.5112718987863849E-2</v>
      </c>
      <c r="F49" s="7">
        <f t="shared" si="5"/>
        <v>1.4548594470822998</v>
      </c>
    </row>
    <row r="52" spans="1:6" ht="19.5" customHeight="1" x14ac:dyDescent="0.2">
      <c r="A52" s="37" t="s">
        <v>123</v>
      </c>
      <c r="B52" s="37"/>
      <c r="C52" s="37"/>
      <c r="D52" s="37"/>
      <c r="E52" s="37"/>
      <c r="F52" s="37"/>
    </row>
    <row r="53" spans="1:6" ht="15.75" customHeight="1" x14ac:dyDescent="0.2">
      <c r="A53" s="1" t="s">
        <v>1</v>
      </c>
      <c r="B53" s="2" t="s">
        <v>124</v>
      </c>
      <c r="C53" s="2" t="s">
        <v>125</v>
      </c>
      <c r="D53" s="2" t="s">
        <v>126</v>
      </c>
      <c r="E53" s="2" t="s">
        <v>127</v>
      </c>
      <c r="F53" s="2" t="s">
        <v>128</v>
      </c>
    </row>
    <row r="54" spans="1:6" x14ac:dyDescent="0.2">
      <c r="A54" s="8" t="s">
        <v>178</v>
      </c>
      <c r="B54" s="32">
        <v>358539</v>
      </c>
      <c r="C54" s="32">
        <v>412074</v>
      </c>
      <c r="D54" s="32">
        <v>454199</v>
      </c>
      <c r="E54" s="33">
        <f>D6</f>
        <v>510120</v>
      </c>
      <c r="F54" s="33">
        <f>C6</f>
        <v>538343</v>
      </c>
    </row>
    <row r="55" spans="1:6" x14ac:dyDescent="0.2">
      <c r="A55" s="3" t="s">
        <v>179</v>
      </c>
      <c r="B55" s="5">
        <v>95591</v>
      </c>
      <c r="C55" s="5">
        <v>105923</v>
      </c>
      <c r="D55" s="5">
        <v>110213</v>
      </c>
      <c r="E55" s="5">
        <v>121740</v>
      </c>
      <c r="F55" s="5">
        <v>126518</v>
      </c>
    </row>
    <row r="57" spans="1:6" x14ac:dyDescent="0.2">
      <c r="A57" s="38" t="s">
        <v>180</v>
      </c>
      <c r="B57" s="38"/>
      <c r="C57" s="38"/>
      <c r="D57" s="38"/>
      <c r="E57" s="38"/>
      <c r="F57" s="38"/>
    </row>
    <row r="58" spans="1:6" x14ac:dyDescent="0.2">
      <c r="A58" s="3" t="s">
        <v>181</v>
      </c>
      <c r="B58" s="34">
        <v>0.15</v>
      </c>
      <c r="C58" s="34">
        <v>0.125</v>
      </c>
      <c r="D58" s="34">
        <v>0.13800000000000001</v>
      </c>
      <c r="E58" s="7">
        <f>D14/D6</f>
        <v>0.13523484670273661</v>
      </c>
      <c r="F58" s="7">
        <f>C14/C6</f>
        <v>0.11170944918016952</v>
      </c>
    </row>
    <row r="59" spans="1:6" x14ac:dyDescent="0.2">
      <c r="A59" s="3" t="s">
        <v>182</v>
      </c>
      <c r="B59" s="34">
        <v>0.184</v>
      </c>
      <c r="C59" s="34">
        <v>0.19500000000000001</v>
      </c>
      <c r="D59" s="34">
        <v>0.19700000000000001</v>
      </c>
      <c r="E59" s="7">
        <f>D22/D6</f>
        <v>0.19115698267074413</v>
      </c>
      <c r="F59" s="7">
        <f>C22/C6</f>
        <v>0.20456103265018771</v>
      </c>
    </row>
    <row r="60" spans="1:6" x14ac:dyDescent="0.2">
      <c r="A60" s="3" t="s">
        <v>183</v>
      </c>
      <c r="B60" s="34">
        <v>9.4E-2</v>
      </c>
      <c r="C60" s="34">
        <v>8.1000000000000003E-2</v>
      </c>
      <c r="D60" s="34">
        <v>9.6000000000000002E-2</v>
      </c>
      <c r="E60" s="31">
        <f>D14/'Stato Patrimoniale'!D26</f>
        <v>8.6497832099966643E-2</v>
      </c>
      <c r="F60" s="31">
        <f>C14/'Stato Patrimoniale'!C26</f>
        <v>7.1450891027232802E-2</v>
      </c>
    </row>
    <row r="61" spans="1:6" x14ac:dyDescent="0.2">
      <c r="A61" s="3" t="s">
        <v>184</v>
      </c>
      <c r="B61" s="34">
        <v>0.17199999999999999</v>
      </c>
      <c r="C61" s="34">
        <v>0.14799999999999999</v>
      </c>
      <c r="D61" s="34">
        <v>0.155</v>
      </c>
      <c r="E61" s="31">
        <f>D18/'Stato Patrimoniale'!D41</f>
        <v>0.12786447264557654</v>
      </c>
      <c r="F61" s="31">
        <f>C18/'Stato Patrimoniale'!C41</f>
        <v>0.10932343802983478</v>
      </c>
    </row>
    <row r="62" spans="1:6" x14ac:dyDescent="0.2">
      <c r="A62" s="3" t="s">
        <v>185</v>
      </c>
      <c r="B62" s="34">
        <v>7.6999999999999999E-2</v>
      </c>
      <c r="C62" s="34">
        <v>8.5999999999999993E-2</v>
      </c>
      <c r="D62" s="34">
        <v>0.1</v>
      </c>
      <c r="E62" s="31">
        <f>D14/'Stato Patrimoniale'!D118</f>
        <v>0.12542179364109723</v>
      </c>
      <c r="F62" s="31">
        <f>C14/'Stato Patrimoniale'!C118</f>
        <v>9.192011518673518E-2</v>
      </c>
    </row>
    <row r="64" spans="1:6" x14ac:dyDescent="0.2">
      <c r="A64" s="38" t="s">
        <v>186</v>
      </c>
      <c r="B64" s="38"/>
      <c r="C64" s="38"/>
      <c r="D64" s="38"/>
      <c r="E64" s="38"/>
      <c r="F64" s="38"/>
    </row>
    <row r="65" spans="1:6" x14ac:dyDescent="0.2">
      <c r="A65" s="8" t="s">
        <v>187</v>
      </c>
      <c r="B65" s="21">
        <f>B54*B59</f>
        <v>65971.175999999992</v>
      </c>
      <c r="C65" s="21">
        <f>C54*C59</f>
        <v>80354.430000000008</v>
      </c>
      <c r="D65" s="21">
        <f>D54*D59</f>
        <v>89477.203000000009</v>
      </c>
      <c r="E65" s="33">
        <f>D22</f>
        <v>97513</v>
      </c>
      <c r="F65" s="33">
        <f>C22</f>
        <v>110124</v>
      </c>
    </row>
    <row r="66" spans="1:6" x14ac:dyDescent="0.2">
      <c r="A66" s="3" t="s">
        <v>188</v>
      </c>
      <c r="B66" s="6">
        <f>B54*B58</f>
        <v>53780.85</v>
      </c>
      <c r="C66" s="6">
        <f>C54*C58</f>
        <v>51509.25</v>
      </c>
      <c r="D66" s="6">
        <f>D54*D58</f>
        <v>62679.462000000007</v>
      </c>
      <c r="E66" s="16">
        <f>D14</f>
        <v>68986</v>
      </c>
      <c r="F66" s="16">
        <f>C14</f>
        <v>60138</v>
      </c>
    </row>
    <row r="67" spans="1:6" x14ac:dyDescent="0.2">
      <c r="A67" s="8" t="s">
        <v>189</v>
      </c>
      <c r="B67" s="24">
        <v>36471</v>
      </c>
      <c r="C67" s="24">
        <v>37832</v>
      </c>
      <c r="D67" s="24">
        <v>45236</v>
      </c>
      <c r="E67" s="25">
        <f>D18</f>
        <v>42116</v>
      </c>
      <c r="F67" s="25">
        <f>C18</f>
        <v>39655</v>
      </c>
    </row>
  </sheetData>
  <mergeCells count="10">
    <mergeCell ref="A1:F1"/>
    <mergeCell ref="A2:F2"/>
    <mergeCell ref="A4:F4"/>
    <mergeCell ref="A20:F20"/>
    <mergeCell ref="A25:F25"/>
    <mergeCell ref="A57:F57"/>
    <mergeCell ref="A64:F64"/>
    <mergeCell ref="A28:F28"/>
    <mergeCell ref="A40:F40"/>
    <mergeCell ref="A52:F52"/>
  </mergeCells>
  <pageMargins left="0.4" right="0.4" top="0.5" bottom="0.5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86"/>
  <sheetViews>
    <sheetView showGridLines="0" topLeftCell="A60" zoomScale="110" zoomScaleNormal="60" workbookViewId="0">
      <selection activeCell="C72" sqref="C72"/>
    </sheetView>
  </sheetViews>
  <sheetFormatPr baseColWidth="10" defaultColWidth="8.6640625" defaultRowHeight="15" x14ac:dyDescent="0.2"/>
  <cols>
    <col min="1" max="1" width="58" customWidth="1"/>
    <col min="2" max="2" width="9" customWidth="1"/>
    <col min="3" max="4" width="15" customWidth="1"/>
    <col min="5" max="5" width="14" customWidth="1"/>
    <col min="6" max="6" width="12" customWidth="1"/>
    <col min="7" max="8" width="13" customWidth="1"/>
    <col min="20" max="21" width="10" customWidth="1"/>
    <col min="26" max="30" width="10" customWidth="1"/>
  </cols>
  <sheetData>
    <row r="1" spans="1:26" ht="25.5" customHeight="1" x14ac:dyDescent="0.2">
      <c r="A1" s="40" t="s">
        <v>270</v>
      </c>
      <c r="B1" s="40"/>
      <c r="C1" s="40"/>
      <c r="D1" s="40"/>
      <c r="E1" s="40"/>
      <c r="F1" s="40"/>
    </row>
    <row r="2" spans="1:26" ht="15.75" customHeight="1" x14ac:dyDescent="0.2">
      <c r="A2" s="41" t="s">
        <v>196</v>
      </c>
      <c r="B2" s="41"/>
      <c r="C2" s="41"/>
      <c r="D2" s="41"/>
      <c r="E2" s="41"/>
      <c r="F2" s="41"/>
      <c r="V2" s="26" t="s">
        <v>268</v>
      </c>
    </row>
    <row r="3" spans="1:26" x14ac:dyDescent="0.2">
      <c r="V3" s="26" t="s">
        <v>131</v>
      </c>
      <c r="W3" s="26" t="s">
        <v>261</v>
      </c>
      <c r="X3" s="26" t="s">
        <v>262</v>
      </c>
      <c r="Y3" s="26" t="s">
        <v>263</v>
      </c>
      <c r="Z3" s="26" t="s">
        <v>264</v>
      </c>
    </row>
    <row r="4" spans="1:26" ht="19.5" customHeight="1" x14ac:dyDescent="0.2">
      <c r="A4" s="37" t="s">
        <v>197</v>
      </c>
      <c r="B4" s="37"/>
      <c r="C4" s="37"/>
      <c r="D4" s="37"/>
      <c r="E4" s="37"/>
      <c r="F4" s="37"/>
      <c r="V4" s="26" t="s">
        <v>127</v>
      </c>
      <c r="W4" s="18">
        <f>E83</f>
        <v>41644</v>
      </c>
      <c r="X4" s="18">
        <f>E84</f>
        <v>-210023</v>
      </c>
      <c r="Y4" s="18">
        <f>E85</f>
        <v>75605</v>
      </c>
      <c r="Z4" s="18">
        <f>E86</f>
        <v>-92774</v>
      </c>
    </row>
    <row r="5" spans="1:26" ht="15.75" customHeight="1" x14ac:dyDescent="0.2">
      <c r="A5" s="1" t="s">
        <v>1</v>
      </c>
      <c r="B5" s="2"/>
      <c r="C5" s="2" t="s">
        <v>128</v>
      </c>
      <c r="D5" s="2" t="s">
        <v>127</v>
      </c>
      <c r="E5" s="2" t="s">
        <v>5</v>
      </c>
      <c r="F5" s="2" t="s">
        <v>6</v>
      </c>
      <c r="V5" s="26" t="s">
        <v>128</v>
      </c>
      <c r="W5" s="18">
        <f>F83</f>
        <v>74510</v>
      </c>
      <c r="X5" s="18">
        <f>F84</f>
        <v>-97977</v>
      </c>
      <c r="Y5" s="18">
        <f>F85</f>
        <v>12379</v>
      </c>
      <c r="Z5" s="18">
        <f>F86</f>
        <v>-11088</v>
      </c>
    </row>
    <row r="6" spans="1:26" x14ac:dyDescent="0.2">
      <c r="A6" s="38" t="s">
        <v>198</v>
      </c>
      <c r="B6" s="38"/>
      <c r="C6" s="38"/>
      <c r="D6" s="38"/>
      <c r="E6" s="38"/>
      <c r="F6" s="38"/>
    </row>
    <row r="7" spans="1:26" x14ac:dyDescent="0.2">
      <c r="A7" s="3" t="s">
        <v>49</v>
      </c>
      <c r="B7" s="4"/>
      <c r="C7" s="16">
        <f>'Conto Economico'!C18</f>
        <v>39655</v>
      </c>
      <c r="D7" s="16">
        <f>'Conto Economico'!D18</f>
        <v>42116</v>
      </c>
      <c r="E7" s="6">
        <f t="shared" ref="E7:E17" si="0">C7-D7</f>
        <v>-2461</v>
      </c>
      <c r="F7" s="7">
        <f t="shared" ref="F7:F17" si="1">IFERROR(E7/ABS(D7),"n.s.")</f>
        <v>-5.8433849368411055E-2</v>
      </c>
    </row>
    <row r="8" spans="1:26" x14ac:dyDescent="0.2">
      <c r="A8" s="3" t="s">
        <v>167</v>
      </c>
      <c r="B8" s="4"/>
      <c r="C8" s="5">
        <v>6755</v>
      </c>
      <c r="D8" s="5">
        <v>21571</v>
      </c>
      <c r="E8" s="6">
        <f t="shared" si="0"/>
        <v>-14816</v>
      </c>
      <c r="F8" s="7">
        <f t="shared" si="1"/>
        <v>-0.68684808307449818</v>
      </c>
      <c r="V8" s="26" t="s">
        <v>268</v>
      </c>
    </row>
    <row r="9" spans="1:26" x14ac:dyDescent="0.2">
      <c r="A9" s="3" t="s">
        <v>199</v>
      </c>
      <c r="B9" s="4"/>
      <c r="C9" s="5">
        <v>12393</v>
      </c>
      <c r="D9" s="5">
        <v>5715</v>
      </c>
      <c r="E9" s="6">
        <f t="shared" si="0"/>
        <v>6678</v>
      </c>
      <c r="F9" s="7">
        <f t="shared" si="1"/>
        <v>1.168503937007874</v>
      </c>
      <c r="V9" s="26" t="s">
        <v>131</v>
      </c>
      <c r="W9" s="26" t="s">
        <v>189</v>
      </c>
    </row>
    <row r="10" spans="1:26" x14ac:dyDescent="0.2">
      <c r="A10" s="3" t="s">
        <v>200</v>
      </c>
      <c r="B10" s="4"/>
      <c r="C10" s="5">
        <v>8</v>
      </c>
      <c r="D10" s="5">
        <v>664</v>
      </c>
      <c r="E10" s="6">
        <f t="shared" si="0"/>
        <v>-656</v>
      </c>
      <c r="F10" s="7">
        <f t="shared" si="1"/>
        <v>-0.98795180722891562</v>
      </c>
      <c r="V10" s="26" t="s">
        <v>124</v>
      </c>
      <c r="W10" s="18">
        <f>B80</f>
        <v>36471</v>
      </c>
    </row>
    <row r="11" spans="1:26" x14ac:dyDescent="0.2">
      <c r="A11" s="3" t="s">
        <v>201</v>
      </c>
      <c r="B11" s="4"/>
      <c r="C11" s="5">
        <v>-801</v>
      </c>
      <c r="D11" s="5">
        <v>-1756</v>
      </c>
      <c r="E11" s="6">
        <f t="shared" si="0"/>
        <v>955</v>
      </c>
      <c r="F11" s="7">
        <f t="shared" si="1"/>
        <v>0.54384965831435084</v>
      </c>
      <c r="V11" s="26" t="s">
        <v>125</v>
      </c>
      <c r="W11" s="18">
        <f>C80</f>
        <v>37832</v>
      </c>
    </row>
    <row r="12" spans="1:26" x14ac:dyDescent="0.2">
      <c r="A12" s="3" t="s">
        <v>202</v>
      </c>
      <c r="B12" s="4"/>
      <c r="C12" s="5">
        <v>44140</v>
      </c>
      <c r="D12" s="5">
        <v>27293</v>
      </c>
      <c r="E12" s="6">
        <f t="shared" si="0"/>
        <v>16847</v>
      </c>
      <c r="F12" s="7">
        <f t="shared" si="1"/>
        <v>0.61726450005495914</v>
      </c>
      <c r="V12" s="26" t="s">
        <v>126</v>
      </c>
      <c r="W12" s="18">
        <f>D80</f>
        <v>45236</v>
      </c>
    </row>
    <row r="13" spans="1:26" x14ac:dyDescent="0.2">
      <c r="A13" s="3" t="s">
        <v>203</v>
      </c>
      <c r="B13" s="4"/>
      <c r="C13" s="5">
        <v>1855</v>
      </c>
      <c r="D13" s="5">
        <v>297</v>
      </c>
      <c r="E13" s="6">
        <f t="shared" si="0"/>
        <v>1558</v>
      </c>
      <c r="F13" s="7">
        <f t="shared" si="1"/>
        <v>5.2457912457912457</v>
      </c>
      <c r="V13" s="26" t="s">
        <v>127</v>
      </c>
      <c r="W13" s="18">
        <f>E80</f>
        <v>42116</v>
      </c>
    </row>
    <row r="14" spans="1:26" x14ac:dyDescent="0.2">
      <c r="A14" s="3" t="s">
        <v>204</v>
      </c>
      <c r="B14" s="4"/>
      <c r="C14" s="5">
        <v>6719</v>
      </c>
      <c r="D14" s="5">
        <v>0</v>
      </c>
      <c r="E14" s="6">
        <f t="shared" si="0"/>
        <v>6719</v>
      </c>
      <c r="F14" s="7" t="str">
        <f t="shared" si="1"/>
        <v>n.s.</v>
      </c>
      <c r="V14" s="26" t="s">
        <v>128</v>
      </c>
      <c r="W14" s="18">
        <f>F80</f>
        <v>39655</v>
      </c>
    </row>
    <row r="15" spans="1:26" x14ac:dyDescent="0.2">
      <c r="A15" s="3" t="s">
        <v>205</v>
      </c>
      <c r="B15" s="4"/>
      <c r="C15" s="5">
        <v>-12911</v>
      </c>
      <c r="D15" s="5">
        <v>-15312</v>
      </c>
      <c r="E15" s="6">
        <f t="shared" si="0"/>
        <v>2401</v>
      </c>
      <c r="F15" s="7">
        <f t="shared" si="1"/>
        <v>0.15680512016718914</v>
      </c>
    </row>
    <row r="16" spans="1:26" x14ac:dyDescent="0.2">
      <c r="A16" s="3" t="s">
        <v>206</v>
      </c>
      <c r="B16" s="4"/>
      <c r="C16" s="5">
        <v>-11948</v>
      </c>
      <c r="D16" s="5">
        <v>-6412</v>
      </c>
      <c r="E16" s="6">
        <f t="shared" si="0"/>
        <v>-5536</v>
      </c>
      <c r="F16" s="7">
        <f t="shared" si="1"/>
        <v>-0.86338116032439172</v>
      </c>
    </row>
    <row r="17" spans="1:6" x14ac:dyDescent="0.2">
      <c r="A17" s="8" t="s">
        <v>207</v>
      </c>
      <c r="B17" s="9"/>
      <c r="C17" s="10">
        <f>SUM(C7:C16)</f>
        <v>85865</v>
      </c>
      <c r="D17" s="10">
        <f>SUM(D7:D16)</f>
        <v>74176</v>
      </c>
      <c r="E17" s="10">
        <f t="shared" si="0"/>
        <v>11689</v>
      </c>
      <c r="F17" s="11">
        <f t="shared" si="1"/>
        <v>0.15758466350301983</v>
      </c>
    </row>
    <row r="18" spans="1:6" ht="6" customHeight="1" x14ac:dyDescent="0.2"/>
    <row r="19" spans="1:6" x14ac:dyDescent="0.2">
      <c r="A19" s="38" t="s">
        <v>208</v>
      </c>
      <c r="B19" s="38"/>
      <c r="C19" s="38"/>
      <c r="D19" s="38"/>
      <c r="E19" s="38"/>
      <c r="F19" s="38"/>
    </row>
    <row r="20" spans="1:6" x14ac:dyDescent="0.2">
      <c r="A20" s="3" t="s">
        <v>209</v>
      </c>
      <c r="B20" s="4"/>
      <c r="C20" s="5">
        <v>6201</v>
      </c>
      <c r="D20" s="5">
        <v>-22368</v>
      </c>
      <c r="E20" s="6">
        <f t="shared" ref="E20:E28" si="2">C20-D20</f>
        <v>28569</v>
      </c>
      <c r="F20" s="7">
        <f t="shared" ref="F20:F28" si="3">IFERROR(E20/ABS(D20),"n.s.")</f>
        <v>1.2772263948497855</v>
      </c>
    </row>
    <row r="21" spans="1:6" x14ac:dyDescent="0.2">
      <c r="A21" s="3" t="s">
        <v>210</v>
      </c>
      <c r="B21" s="4"/>
      <c r="C21" s="5">
        <v>1222</v>
      </c>
      <c r="D21" s="5">
        <v>-20394</v>
      </c>
      <c r="E21" s="6">
        <f t="shared" si="2"/>
        <v>21616</v>
      </c>
      <c r="F21" s="7">
        <f t="shared" si="3"/>
        <v>1.0599195841914288</v>
      </c>
    </row>
    <row r="22" spans="1:6" x14ac:dyDescent="0.2">
      <c r="A22" s="3" t="s">
        <v>211</v>
      </c>
      <c r="B22" s="4"/>
      <c r="C22" s="5">
        <v>-3050</v>
      </c>
      <c r="D22" s="5">
        <v>-8479</v>
      </c>
      <c r="E22" s="6">
        <f t="shared" si="2"/>
        <v>5429</v>
      </c>
      <c r="F22" s="7">
        <f t="shared" si="3"/>
        <v>0.64028776978417268</v>
      </c>
    </row>
    <row r="23" spans="1:6" x14ac:dyDescent="0.2">
      <c r="A23" s="3" t="s">
        <v>212</v>
      </c>
      <c r="B23" s="4"/>
      <c r="C23" s="5">
        <v>-11673</v>
      </c>
      <c r="D23" s="5">
        <v>7018</v>
      </c>
      <c r="E23" s="6">
        <f t="shared" si="2"/>
        <v>-18691</v>
      </c>
      <c r="F23" s="7">
        <f t="shared" si="3"/>
        <v>-2.6632943858649187</v>
      </c>
    </row>
    <row r="24" spans="1:6" x14ac:dyDescent="0.2">
      <c r="A24" s="3" t="s">
        <v>213</v>
      </c>
      <c r="B24" s="4"/>
      <c r="C24" s="5">
        <v>-1824</v>
      </c>
      <c r="D24" s="5">
        <v>-4509</v>
      </c>
      <c r="E24" s="6">
        <f t="shared" si="2"/>
        <v>2685</v>
      </c>
      <c r="F24" s="7">
        <f t="shared" si="3"/>
        <v>0.59547571523619425</v>
      </c>
    </row>
    <row r="25" spans="1:6" x14ac:dyDescent="0.2">
      <c r="A25" s="3" t="s">
        <v>214</v>
      </c>
      <c r="B25" s="4"/>
      <c r="C25" s="5">
        <v>-2231</v>
      </c>
      <c r="D25" s="5">
        <v>16200</v>
      </c>
      <c r="E25" s="6">
        <f t="shared" si="2"/>
        <v>-18431</v>
      </c>
      <c r="F25" s="7">
        <f t="shared" si="3"/>
        <v>-1.1377160493827161</v>
      </c>
    </row>
    <row r="26" spans="1:6" x14ac:dyDescent="0.2">
      <c r="A26" s="3" t="s">
        <v>215</v>
      </c>
      <c r="B26" s="4"/>
      <c r="C26" s="5">
        <v>0</v>
      </c>
      <c r="D26" s="5">
        <v>0</v>
      </c>
      <c r="E26" s="6">
        <f t="shared" si="2"/>
        <v>0</v>
      </c>
      <c r="F26" s="7" t="str">
        <f t="shared" si="3"/>
        <v>n.s.</v>
      </c>
    </row>
    <row r="27" spans="1:6" x14ac:dyDescent="0.2">
      <c r="A27" s="8" t="s">
        <v>216</v>
      </c>
      <c r="B27" s="9"/>
      <c r="C27" s="10">
        <f>SUM(C20:C26)</f>
        <v>-11355</v>
      </c>
      <c r="D27" s="10">
        <f>SUM(D20:D26)</f>
        <v>-32532</v>
      </c>
      <c r="E27" s="10">
        <f t="shared" si="2"/>
        <v>21177</v>
      </c>
      <c r="F27" s="11">
        <f t="shared" si="3"/>
        <v>0.65095905569900403</v>
      </c>
    </row>
    <row r="28" spans="1:6" x14ac:dyDescent="0.2">
      <c r="A28" s="8" t="s">
        <v>217</v>
      </c>
      <c r="B28" s="9"/>
      <c r="C28" s="19">
        <f>C17+C27</f>
        <v>74510</v>
      </c>
      <c r="D28" s="19">
        <f>D17+D27</f>
        <v>41644</v>
      </c>
      <c r="E28" s="19">
        <f t="shared" si="2"/>
        <v>32866</v>
      </c>
      <c r="F28" s="20">
        <f t="shared" si="3"/>
        <v>0.78921333205263666</v>
      </c>
    </row>
    <row r="30" spans="1:6" x14ac:dyDescent="0.2">
      <c r="A30" s="38" t="s">
        <v>218</v>
      </c>
      <c r="B30" s="38"/>
      <c r="C30" s="38"/>
      <c r="D30" s="38"/>
      <c r="E30" s="38"/>
      <c r="F30" s="38"/>
    </row>
    <row r="31" spans="1:6" x14ac:dyDescent="0.2">
      <c r="A31" s="3" t="s">
        <v>219</v>
      </c>
      <c r="B31" s="4"/>
      <c r="C31" s="5">
        <v>-25490</v>
      </c>
      <c r="D31" s="5">
        <v>-25476</v>
      </c>
      <c r="E31" s="6">
        <f>C31-D31</f>
        <v>-14</v>
      </c>
      <c r="F31" s="7">
        <f>IFERROR(E31/ABS(D31),"n.s.")</f>
        <v>-5.4953681896687076E-4</v>
      </c>
    </row>
    <row r="32" spans="1:6" x14ac:dyDescent="0.2">
      <c r="A32" s="3" t="s">
        <v>220</v>
      </c>
      <c r="B32" s="4"/>
      <c r="C32" s="5">
        <v>-21133</v>
      </c>
      <c r="D32" s="5">
        <v>-184303</v>
      </c>
      <c r="E32" s="6">
        <f>C32-D32</f>
        <v>163170</v>
      </c>
      <c r="F32" s="7">
        <f>IFERROR(E32/ABS(D32),"n.s.")</f>
        <v>0.88533556154810289</v>
      </c>
    </row>
    <row r="33" spans="1:6" x14ac:dyDescent="0.2">
      <c r="A33" s="3" t="s">
        <v>221</v>
      </c>
      <c r="B33" s="4"/>
      <c r="C33" s="5">
        <v>-38337</v>
      </c>
      <c r="D33" s="5">
        <v>-244</v>
      </c>
      <c r="E33" s="6">
        <f>C33-D33</f>
        <v>-38093</v>
      </c>
      <c r="F33" s="7">
        <f>IFERROR(E33/ABS(D33),"n.s.")</f>
        <v>-156.11885245901638</v>
      </c>
    </row>
    <row r="34" spans="1:6" x14ac:dyDescent="0.2">
      <c r="A34" s="3" t="s">
        <v>222</v>
      </c>
      <c r="B34" s="4"/>
      <c r="C34" s="5">
        <v>-13017</v>
      </c>
      <c r="D34" s="5">
        <v>0</v>
      </c>
      <c r="E34" s="6">
        <f>C34-D34</f>
        <v>-13017</v>
      </c>
      <c r="F34" s="7" t="str">
        <f>IFERROR(E34/ABS(D34),"n.s.")</f>
        <v>n.s.</v>
      </c>
    </row>
    <row r="35" spans="1:6" x14ac:dyDescent="0.2">
      <c r="A35" s="8" t="s">
        <v>223</v>
      </c>
      <c r="B35" s="9"/>
      <c r="C35" s="19">
        <f>SUM(C31:C34)</f>
        <v>-97977</v>
      </c>
      <c r="D35" s="19">
        <f>SUM(D31:D34)</f>
        <v>-210023</v>
      </c>
      <c r="E35" s="19">
        <f>C35-D35</f>
        <v>112046</v>
      </c>
      <c r="F35" s="20">
        <f>IFERROR(E35/ABS(D35),"n.s.")</f>
        <v>0.53349395066254646</v>
      </c>
    </row>
    <row r="37" spans="1:6" x14ac:dyDescent="0.2">
      <c r="A37" s="38" t="s">
        <v>224</v>
      </c>
      <c r="B37" s="38"/>
      <c r="C37" s="38"/>
      <c r="D37" s="38"/>
      <c r="E37" s="38"/>
      <c r="F37" s="38"/>
    </row>
    <row r="38" spans="1:6" x14ac:dyDescent="0.2">
      <c r="A38" s="3" t="s">
        <v>225</v>
      </c>
      <c r="B38" s="4"/>
      <c r="C38" s="5">
        <v>62906</v>
      </c>
      <c r="D38" s="5">
        <v>129675</v>
      </c>
      <c r="E38" s="6">
        <f t="shared" ref="E38:E44" si="4">C38-D38</f>
        <v>-66769</v>
      </c>
      <c r="F38" s="7">
        <f t="shared" ref="F38:F44" si="5">IFERROR(E38/ABS(D38),"n.s.")</f>
        <v>-0.51489492963177175</v>
      </c>
    </row>
    <row r="39" spans="1:6" x14ac:dyDescent="0.2">
      <c r="A39" s="3" t="s">
        <v>226</v>
      </c>
      <c r="B39" s="4"/>
      <c r="C39" s="5">
        <v>-44739</v>
      </c>
      <c r="D39" s="5">
        <v>-51739</v>
      </c>
      <c r="E39" s="6">
        <f t="shared" si="4"/>
        <v>7000</v>
      </c>
      <c r="F39" s="7">
        <f t="shared" si="5"/>
        <v>0.1352944587255262</v>
      </c>
    </row>
    <row r="40" spans="1:6" x14ac:dyDescent="0.2">
      <c r="A40" s="3" t="s">
        <v>227</v>
      </c>
      <c r="B40" s="4"/>
      <c r="C40" s="5">
        <v>336</v>
      </c>
      <c r="D40" s="5">
        <v>-357</v>
      </c>
      <c r="E40" s="6">
        <f t="shared" si="4"/>
        <v>693</v>
      </c>
      <c r="F40" s="7">
        <f t="shared" si="5"/>
        <v>1.9411764705882353</v>
      </c>
    </row>
    <row r="41" spans="1:6" x14ac:dyDescent="0.2">
      <c r="A41" s="3" t="s">
        <v>228</v>
      </c>
      <c r="B41" s="4"/>
      <c r="C41" s="5">
        <v>0</v>
      </c>
      <c r="D41" s="5">
        <v>0</v>
      </c>
      <c r="E41" s="6">
        <f t="shared" si="4"/>
        <v>0</v>
      </c>
      <c r="F41" s="7" t="str">
        <f t="shared" si="5"/>
        <v>n.s.</v>
      </c>
    </row>
    <row r="42" spans="1:6" x14ac:dyDescent="0.2">
      <c r="A42" s="3" t="s">
        <v>229</v>
      </c>
      <c r="B42" s="4"/>
      <c r="C42" s="5">
        <v>-2124</v>
      </c>
      <c r="D42" s="5">
        <v>1026</v>
      </c>
      <c r="E42" s="6">
        <f t="shared" si="4"/>
        <v>-3150</v>
      </c>
      <c r="F42" s="7">
        <f t="shared" si="5"/>
        <v>-3.0701754385964914</v>
      </c>
    </row>
    <row r="43" spans="1:6" x14ac:dyDescent="0.2">
      <c r="A43" s="3" t="s">
        <v>230</v>
      </c>
      <c r="B43" s="4"/>
      <c r="C43" s="5">
        <v>-4000</v>
      </c>
      <c r="D43" s="5">
        <v>-3000</v>
      </c>
      <c r="E43" s="6">
        <f t="shared" si="4"/>
        <v>-1000</v>
      </c>
      <c r="F43" s="7">
        <f t="shared" si="5"/>
        <v>-0.33333333333333331</v>
      </c>
    </row>
    <row r="44" spans="1:6" x14ac:dyDescent="0.2">
      <c r="A44" s="8" t="s">
        <v>231</v>
      </c>
      <c r="B44" s="9"/>
      <c r="C44" s="19">
        <f>SUM(C38:C43)</f>
        <v>12379</v>
      </c>
      <c r="D44" s="19">
        <f>SUM(D38:D43)</f>
        <v>75605</v>
      </c>
      <c r="E44" s="19">
        <f t="shared" si="4"/>
        <v>-63226</v>
      </c>
      <c r="F44" s="20">
        <f t="shared" si="5"/>
        <v>-0.83626744262945574</v>
      </c>
    </row>
    <row r="46" spans="1:6" x14ac:dyDescent="0.2">
      <c r="A46" s="12" t="s">
        <v>232</v>
      </c>
      <c r="B46" s="13"/>
      <c r="C46" s="14">
        <f>C28+C35+C44</f>
        <v>-11088</v>
      </c>
      <c r="D46" s="14">
        <f>D28+D35+D44</f>
        <v>-92774</v>
      </c>
      <c r="E46" s="14">
        <f>C46-D46</f>
        <v>81686</v>
      </c>
      <c r="F46" s="15">
        <f>IFERROR(E46/ABS(D46),"n.s.")</f>
        <v>0.88048375622480435</v>
      </c>
    </row>
    <row r="47" spans="1:6" x14ac:dyDescent="0.2">
      <c r="A47" s="3" t="s">
        <v>233</v>
      </c>
      <c r="B47" s="4"/>
      <c r="C47" s="16">
        <f>'Stato Patrimoniale'!D23</f>
        <v>47655</v>
      </c>
      <c r="D47" s="16">
        <v>140428</v>
      </c>
      <c r="E47" s="6">
        <f>C47-D47</f>
        <v>-92773</v>
      </c>
      <c r="F47" s="7">
        <f>IFERROR(E47/ABS(D47),"n.s.")</f>
        <v>-0.66064460079186482</v>
      </c>
    </row>
    <row r="48" spans="1:6" x14ac:dyDescent="0.2">
      <c r="A48" s="17" t="s">
        <v>234</v>
      </c>
      <c r="B48" s="4"/>
      <c r="C48" s="6">
        <f>('Stato Patrimoniale'!C23)-(C46+C47)</f>
        <v>448</v>
      </c>
      <c r="D48" s="6">
        <f>('Stato Patrimoniale'!D23)-(D46+D47)</f>
        <v>1</v>
      </c>
    </row>
    <row r="49" spans="1:6" x14ac:dyDescent="0.2">
      <c r="A49" s="12" t="s">
        <v>235</v>
      </c>
      <c r="B49" s="13"/>
      <c r="C49" s="14">
        <f>C46+C47+C48</f>
        <v>37015</v>
      </c>
      <c r="D49" s="14">
        <f>D46+D47+D48</f>
        <v>47655</v>
      </c>
      <c r="E49" s="14">
        <f>C49-D49</f>
        <v>-10640</v>
      </c>
      <c r="F49" s="15">
        <f>IFERROR(E49/ABS(D49),"n.s.")</f>
        <v>-0.22327143007029693</v>
      </c>
    </row>
    <row r="50" spans="1:6" x14ac:dyDescent="0.2">
      <c r="A50" s="17" t="s">
        <v>236</v>
      </c>
      <c r="B50" s="4"/>
      <c r="C50" s="18">
        <f>C49-'Stato Patrimoniale'!C23</f>
        <v>0</v>
      </c>
      <c r="D50" s="18">
        <f>D49-'Stato Patrimoniale'!D23</f>
        <v>0</v>
      </c>
    </row>
    <row r="52" spans="1:6" ht="60" customHeight="1" x14ac:dyDescent="0.2">
      <c r="A52" s="39" t="s">
        <v>237</v>
      </c>
      <c r="B52" s="39"/>
      <c r="C52" s="39"/>
      <c r="D52" s="39"/>
      <c r="E52" s="39"/>
      <c r="F52" s="39"/>
    </row>
    <row r="56" spans="1:6" ht="19.5" customHeight="1" x14ac:dyDescent="0.2">
      <c r="A56" s="37" t="s">
        <v>238</v>
      </c>
      <c r="B56" s="37"/>
      <c r="C56" s="37"/>
      <c r="D56" s="37"/>
      <c r="E56" s="37"/>
      <c r="F56" s="37"/>
    </row>
    <row r="57" spans="1:6" ht="15.75" customHeight="1" x14ac:dyDescent="0.2">
      <c r="A57" s="1" t="s">
        <v>1</v>
      </c>
      <c r="B57" s="2"/>
      <c r="C57" s="2" t="s">
        <v>128</v>
      </c>
      <c r="D57" s="2" t="s">
        <v>127</v>
      </c>
      <c r="E57" s="2" t="s">
        <v>5</v>
      </c>
      <c r="F57" s="2" t="s">
        <v>6</v>
      </c>
    </row>
    <row r="58" spans="1:6" x14ac:dyDescent="0.2">
      <c r="A58" s="3" t="s">
        <v>239</v>
      </c>
      <c r="B58" s="4"/>
      <c r="C58" s="6">
        <f>C17</f>
        <v>85865</v>
      </c>
      <c r="D58" s="6">
        <f>D17</f>
        <v>74176</v>
      </c>
      <c r="E58" s="6">
        <f t="shared" ref="E58:E67" si="6">C58-D58</f>
        <v>11689</v>
      </c>
      <c r="F58" s="7">
        <f t="shared" ref="F58:F67" si="7">IFERROR(E58/ABS(D58),"n.s.")</f>
        <v>0.15758466350301983</v>
      </c>
    </row>
    <row r="59" spans="1:6" x14ac:dyDescent="0.2">
      <c r="A59" s="3" t="s">
        <v>240</v>
      </c>
      <c r="B59" s="4"/>
      <c r="C59" s="6">
        <f>C27</f>
        <v>-11355</v>
      </c>
      <c r="D59" s="6">
        <f>D27</f>
        <v>-32532</v>
      </c>
      <c r="E59" s="6">
        <f t="shared" si="6"/>
        <v>21177</v>
      </c>
      <c r="F59" s="7">
        <f t="shared" si="7"/>
        <v>0.65095905569900403</v>
      </c>
    </row>
    <row r="60" spans="1:6" x14ac:dyDescent="0.2">
      <c r="A60" s="8" t="s">
        <v>241</v>
      </c>
      <c r="B60" s="9"/>
      <c r="C60" s="19">
        <f>C58+C59</f>
        <v>74510</v>
      </c>
      <c r="D60" s="19">
        <f>D58+D59</f>
        <v>41644</v>
      </c>
      <c r="E60" s="19">
        <f t="shared" si="6"/>
        <v>32866</v>
      </c>
      <c r="F60" s="20">
        <f t="shared" si="7"/>
        <v>0.78921333205263666</v>
      </c>
    </row>
    <row r="61" spans="1:6" x14ac:dyDescent="0.2">
      <c r="A61" s="3" t="s">
        <v>242</v>
      </c>
      <c r="B61" s="4"/>
      <c r="C61" s="6">
        <f>C35</f>
        <v>-97977</v>
      </c>
      <c r="D61" s="6">
        <f>D35</f>
        <v>-210023</v>
      </c>
      <c r="E61" s="6">
        <f t="shared" si="6"/>
        <v>112046</v>
      </c>
      <c r="F61" s="7">
        <f t="shared" si="7"/>
        <v>0.53349395066254646</v>
      </c>
    </row>
    <row r="62" spans="1:6" x14ac:dyDescent="0.2">
      <c r="A62" s="8" t="s">
        <v>243</v>
      </c>
      <c r="B62" s="9"/>
      <c r="C62" s="19">
        <f>C60+C61</f>
        <v>-23467</v>
      </c>
      <c r="D62" s="19">
        <f>D60+D61</f>
        <v>-168379</v>
      </c>
      <c r="E62" s="19">
        <f t="shared" si="6"/>
        <v>144912</v>
      </c>
      <c r="F62" s="20">
        <f t="shared" si="7"/>
        <v>0.86062988852529121</v>
      </c>
    </row>
    <row r="63" spans="1:6" x14ac:dyDescent="0.2">
      <c r="A63" s="3" t="s">
        <v>244</v>
      </c>
      <c r="B63" s="4"/>
      <c r="C63" s="6">
        <f>C44</f>
        <v>12379</v>
      </c>
      <c r="D63" s="6">
        <f>D44</f>
        <v>75605</v>
      </c>
      <c r="E63" s="6">
        <f t="shared" si="6"/>
        <v>-63226</v>
      </c>
      <c r="F63" s="7">
        <f t="shared" si="7"/>
        <v>-0.83626744262945574</v>
      </c>
    </row>
    <row r="64" spans="1:6" x14ac:dyDescent="0.2">
      <c r="A64" s="8" t="s">
        <v>245</v>
      </c>
      <c r="B64" s="9"/>
      <c r="C64" s="19">
        <f>C62+C63</f>
        <v>-11088</v>
      </c>
      <c r="D64" s="19">
        <f>D62+D63</f>
        <v>-92774</v>
      </c>
      <c r="E64" s="19">
        <f t="shared" si="6"/>
        <v>81686</v>
      </c>
      <c r="F64" s="20">
        <f t="shared" si="7"/>
        <v>0.88048375622480435</v>
      </c>
    </row>
    <row r="65" spans="1:6" x14ac:dyDescent="0.2">
      <c r="A65" s="3" t="s">
        <v>246</v>
      </c>
      <c r="B65" s="4"/>
      <c r="C65" s="6">
        <f>C47</f>
        <v>47655</v>
      </c>
      <c r="D65" s="6">
        <f>D47</f>
        <v>140428</v>
      </c>
      <c r="E65" s="6">
        <f t="shared" si="6"/>
        <v>-92773</v>
      </c>
      <c r="F65" s="7">
        <f t="shared" si="7"/>
        <v>-0.66064460079186482</v>
      </c>
    </row>
    <row r="66" spans="1:6" x14ac:dyDescent="0.2">
      <c r="A66" s="3" t="s">
        <v>247</v>
      </c>
      <c r="B66" s="4"/>
      <c r="C66" s="6">
        <f>C48</f>
        <v>448</v>
      </c>
      <c r="D66" s="6">
        <f>D48</f>
        <v>1</v>
      </c>
      <c r="E66" s="6">
        <f t="shared" si="6"/>
        <v>447</v>
      </c>
      <c r="F66" s="7">
        <f t="shared" si="7"/>
        <v>447</v>
      </c>
    </row>
    <row r="67" spans="1:6" x14ac:dyDescent="0.2">
      <c r="A67" s="12" t="s">
        <v>248</v>
      </c>
      <c r="B67" s="13"/>
      <c r="C67" s="14">
        <f>C64+C65+C66</f>
        <v>37015</v>
      </c>
      <c r="D67" s="14">
        <f>D64+D65+D66</f>
        <v>47655</v>
      </c>
      <c r="E67" s="14">
        <f t="shared" si="6"/>
        <v>-10640</v>
      </c>
      <c r="F67" s="15">
        <f t="shared" si="7"/>
        <v>-0.22327143007029693</v>
      </c>
    </row>
    <row r="69" spans="1:6" ht="19.5" customHeight="1" x14ac:dyDescent="0.2">
      <c r="A69" s="37" t="s">
        <v>249</v>
      </c>
      <c r="B69" s="37"/>
      <c r="C69" s="37"/>
      <c r="D69" s="37"/>
      <c r="E69" s="37"/>
      <c r="F69" s="37"/>
    </row>
    <row r="70" spans="1:6" ht="15.75" customHeight="1" x14ac:dyDescent="0.2">
      <c r="A70" s="1" t="s">
        <v>109</v>
      </c>
      <c r="B70" s="2"/>
      <c r="C70" s="2" t="s">
        <v>128</v>
      </c>
      <c r="D70" s="2" t="s">
        <v>127</v>
      </c>
      <c r="E70" s="2" t="s">
        <v>5</v>
      </c>
      <c r="F70" s="2"/>
    </row>
    <row r="71" spans="1:6" x14ac:dyDescent="0.2">
      <c r="A71" s="3" t="s">
        <v>250</v>
      </c>
      <c r="B71" s="4"/>
      <c r="C71" s="16">
        <f>'Stato Patrimoniale'!C120</f>
        <v>307813</v>
      </c>
      <c r="D71" s="16">
        <f>'Stato Patrimoniale'!D120</f>
        <v>273998</v>
      </c>
      <c r="E71" s="6">
        <f>C71-D71</f>
        <v>33815</v>
      </c>
      <c r="F71" s="7">
        <f>IFERROR(E71/ABS(D71),"n.s.")</f>
        <v>0.12341330958620136</v>
      </c>
    </row>
    <row r="72" spans="1:6" x14ac:dyDescent="0.2">
      <c r="A72" s="3" t="s">
        <v>251</v>
      </c>
      <c r="B72" s="4"/>
      <c r="C72" s="16">
        <f>'Conto Economico'!C22</f>
        <v>110124</v>
      </c>
      <c r="D72" s="16">
        <f>'Conto Economico'!D22</f>
        <v>97513</v>
      </c>
      <c r="E72" s="6">
        <f>C72-D72</f>
        <v>12611</v>
      </c>
      <c r="F72" s="7">
        <f>IFERROR(E72/ABS(D72),"n.s.")</f>
        <v>0.12932634623075898</v>
      </c>
    </row>
    <row r="73" spans="1:6" x14ac:dyDescent="0.2">
      <c r="A73" s="3" t="s">
        <v>252</v>
      </c>
      <c r="B73" s="4"/>
      <c r="C73" s="23">
        <f>C71/C72</f>
        <v>2.795149104645672</v>
      </c>
      <c r="D73" s="23">
        <f>D71/D72</f>
        <v>2.809861249269328</v>
      </c>
      <c r="E73" s="23">
        <f>C73-D73</f>
        <v>-1.4712144623655998E-2</v>
      </c>
      <c r="F73" s="7">
        <f>IFERROR(E73/ABS(D73),"n.s.")</f>
        <v>-5.2358971915363161E-3</v>
      </c>
    </row>
    <row r="74" spans="1:6" x14ac:dyDescent="0.2">
      <c r="A74" s="3" t="s">
        <v>253</v>
      </c>
      <c r="B74" s="4"/>
      <c r="C74" s="31">
        <f>C62/'Conto Economico'!C6</f>
        <v>-4.3591167712777913E-2</v>
      </c>
      <c r="D74" s="31">
        <f>D62/'Conto Economico'!D6</f>
        <v>-0.33007723672861289</v>
      </c>
      <c r="E74" s="7">
        <f>C74-D74</f>
        <v>0.28648606901583495</v>
      </c>
      <c r="F74" s="7">
        <f>IFERROR(E74/ABS(D74),"n.s.")</f>
        <v>0.8679364619480916</v>
      </c>
    </row>
    <row r="75" spans="1:6" x14ac:dyDescent="0.2">
      <c r="A75" s="3" t="s">
        <v>254</v>
      </c>
      <c r="B75" s="4"/>
      <c r="C75" s="31">
        <f>C60/'Stato Patrimoniale'!C26</f>
        <v>8.8526487253302658E-2</v>
      </c>
      <c r="D75" s="31">
        <f>D60/'Stato Patrimoniale'!D26</f>
        <v>5.2215170034079536E-2</v>
      </c>
      <c r="E75" s="7">
        <f>C75-D75</f>
        <v>3.6311317219223121E-2</v>
      </c>
      <c r="F75" s="7">
        <f>IFERROR(E75/ABS(D75),"n.s.")</f>
        <v>0.69541700612147073</v>
      </c>
    </row>
    <row r="78" spans="1:6" ht="19.5" customHeight="1" x14ac:dyDescent="0.2">
      <c r="A78" s="37" t="s">
        <v>123</v>
      </c>
      <c r="B78" s="37"/>
      <c r="C78" s="37"/>
      <c r="D78" s="37"/>
      <c r="E78" s="37"/>
      <c r="F78" s="37"/>
    </row>
    <row r="79" spans="1:6" ht="15.75" customHeight="1" x14ac:dyDescent="0.2">
      <c r="A79" s="1" t="s">
        <v>1</v>
      </c>
      <c r="B79" s="2" t="s">
        <v>124</v>
      </c>
      <c r="C79" s="2" t="s">
        <v>125</v>
      </c>
      <c r="D79" s="2" t="s">
        <v>126</v>
      </c>
      <c r="E79" s="2" t="s">
        <v>127</v>
      </c>
      <c r="F79" s="2" t="s">
        <v>128</v>
      </c>
    </row>
    <row r="80" spans="1:6" x14ac:dyDescent="0.2">
      <c r="A80" s="8" t="s">
        <v>255</v>
      </c>
      <c r="B80" s="33">
        <f>'Conto Economico'!B67</f>
        <v>36471</v>
      </c>
      <c r="C80" s="33">
        <f>'Conto Economico'!C67</f>
        <v>37832</v>
      </c>
      <c r="D80" s="33">
        <f>'Conto Economico'!D67</f>
        <v>45236</v>
      </c>
      <c r="E80" s="33">
        <f>'Conto Economico'!E67</f>
        <v>42116</v>
      </c>
      <c r="F80" s="33">
        <f>'Conto Economico'!F67</f>
        <v>39655</v>
      </c>
    </row>
    <row r="82" spans="1:6" x14ac:dyDescent="0.2">
      <c r="A82" s="38" t="s">
        <v>256</v>
      </c>
      <c r="B82" s="38"/>
      <c r="C82" s="38"/>
      <c r="D82" s="38"/>
      <c r="E82" s="38"/>
      <c r="F82" s="38"/>
    </row>
    <row r="83" spans="1:6" x14ac:dyDescent="0.2">
      <c r="A83" s="3" t="s">
        <v>257</v>
      </c>
      <c r="B83" s="18" t="s">
        <v>258</v>
      </c>
      <c r="C83" s="18" t="s">
        <v>258</v>
      </c>
      <c r="D83" s="18" t="s">
        <v>258</v>
      </c>
      <c r="E83" s="16">
        <f>D28</f>
        <v>41644</v>
      </c>
      <c r="F83" s="16">
        <f>C28</f>
        <v>74510</v>
      </c>
    </row>
    <row r="84" spans="1:6" x14ac:dyDescent="0.2">
      <c r="A84" s="3" t="s">
        <v>259</v>
      </c>
      <c r="B84" s="18" t="s">
        <v>258</v>
      </c>
      <c r="C84" s="18" t="s">
        <v>258</v>
      </c>
      <c r="D84" s="18" t="s">
        <v>258</v>
      </c>
      <c r="E84" s="16">
        <f>D35</f>
        <v>-210023</v>
      </c>
      <c r="F84" s="16">
        <f>C35</f>
        <v>-97977</v>
      </c>
    </row>
    <row r="85" spans="1:6" x14ac:dyDescent="0.2">
      <c r="A85" s="3" t="s">
        <v>244</v>
      </c>
      <c r="B85" s="18" t="s">
        <v>258</v>
      </c>
      <c r="C85" s="18" t="s">
        <v>258</v>
      </c>
      <c r="D85" s="18" t="s">
        <v>258</v>
      </c>
      <c r="E85" s="16">
        <f>D44</f>
        <v>75605</v>
      </c>
      <c r="F85" s="16">
        <f>C44</f>
        <v>12379</v>
      </c>
    </row>
    <row r="86" spans="1:6" x14ac:dyDescent="0.2">
      <c r="A86" s="8" t="s">
        <v>260</v>
      </c>
      <c r="B86" s="36" t="s">
        <v>258</v>
      </c>
      <c r="C86" s="36" t="s">
        <v>258</v>
      </c>
      <c r="D86" s="36" t="s">
        <v>258</v>
      </c>
      <c r="E86" s="10">
        <f>E83+E84+E85</f>
        <v>-92774</v>
      </c>
      <c r="F86" s="10">
        <f>F83+F84+F85</f>
        <v>-11088</v>
      </c>
    </row>
  </sheetData>
  <mergeCells count="12">
    <mergeCell ref="A1:F1"/>
    <mergeCell ref="A2:F2"/>
    <mergeCell ref="A4:F4"/>
    <mergeCell ref="A6:F6"/>
    <mergeCell ref="A19:F19"/>
    <mergeCell ref="A69:F69"/>
    <mergeCell ref="A78:F78"/>
    <mergeCell ref="A82:F82"/>
    <mergeCell ref="A30:F30"/>
    <mergeCell ref="A37:F37"/>
    <mergeCell ref="A52:F52"/>
    <mergeCell ref="A56:F56"/>
  </mergeCells>
  <pageMargins left="0.4" right="0.4" top="0.5" bottom="0.5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Stato Patrimoniale</vt:lpstr>
      <vt:lpstr>Conto Economico</vt:lpstr>
      <vt:lpstr>Rendiconto Finanziario</vt:lpstr>
      <vt:lpstr>'Conto Economico'!Print_Titles</vt:lpstr>
      <vt:lpstr>'Rendiconto Finanziario'!Print_Titles</vt:lpstr>
      <vt:lpstr>'Stato Patrimoniale'!Print_Titles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lucacelio2001@gmail.com</cp:lastModifiedBy>
  <cp:revision>1</cp:revision>
  <dcterms:created xsi:type="dcterms:W3CDTF">2026-09-28T13:37:31Z</dcterms:created>
  <dcterms:modified xsi:type="dcterms:W3CDTF">2026-09-29T09:04:31Z</dcterms:modified>
  <dc:language>en-US</dc:language>
</cp:coreProperties>
</file>